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f4f212119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0ed3782944a94410"/>
    <x:sheet xmlns:r="http://schemas.openxmlformats.org/officeDocument/2006/relationships" name="Cash Flow" sheetId="2" r:id="Ref3263e753f64460"/>
    <x:sheet xmlns:r="http://schemas.openxmlformats.org/officeDocument/2006/relationships" name="Balance Sheet" sheetId="3" r:id="Ra5c3463d3ce64da3"/>
    <x:sheet xmlns:r="http://schemas.openxmlformats.org/officeDocument/2006/relationships" name="OCI" sheetId="4" r:id="Rdc31cd459d2648f8"/>
    <x:sheet xmlns:r="http://schemas.openxmlformats.org/officeDocument/2006/relationships" name="Accounting Ratios" sheetId="5" r:id="R156177f0f1874063"/>
    <x:sheet xmlns:r="http://schemas.openxmlformats.org/officeDocument/2006/relationships" name="Validation" sheetId="6" r:id="Rabf484d9082d44d8"/>
    <x:sheet xmlns:r="http://schemas.openxmlformats.org/officeDocument/2006/relationships" name="Notes and Sources" sheetId="7" r:id="Rc5e5c572cffa43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–"/>
    <x:numFmt numFmtId="201" formatCode="0.0%;[Red](0.0%);–"/>
    <x:numFmt numFmtId="202" formatCode="0.00&quot;x&quot;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293D"/>
      </x:patternFill>
    </x:fill>
    <x:fill>
      <x:patternFill patternType="solid">
        <x:fgColor rgb="FFB61D23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200" fontId="0" fillId="4" borderId="1" xfId="0" applyNumberFormat="1" applyFont="1" applyFill="1" applyBorder="1"/>
    <x:xf numFmtId="200" fontId="0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0" borderId="0" xfId="0" applyNumberFormat="1" applyFont="1" applyFill="1" applyBorder="1"/>
    <x:xf numFmtId="200" fontId="3" fillId="4" borderId="1" xfId="0" applyNumberFormat="1" applyFont="1" applyFill="1" applyBorder="1"/>
    <x:xf numFmtId="200" fontId="3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1" xfId="0" applyNumberFormat="1" applyFont="1" applyFill="1" applyBorder="1"/>
    <x:xf numFmtId="200" fontId="4" fillId="0" borderId="1" xfId="0" applyNumberFormat="1" applyFont="1" applyFill="1" applyBorder="1"/>
    <x:xf numFmtId="202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7e8119621480a" /><Relationship Type="http://schemas.openxmlformats.org/officeDocument/2006/relationships/theme" Target="/xl/theme/theme1.xml" Id="R5de0bbfc1aa74ecf" /><Relationship Type="http://schemas.openxmlformats.org/officeDocument/2006/relationships/sharedStrings" Target="/xl/sharedStrings.xml" Id="Ra38a96d444174c00" /><Relationship Type="http://schemas.openxmlformats.org/officeDocument/2006/relationships/worksheet" Target="/xl/worksheets/sheet1.xml" Id="R0ed3782944a94410" /><Relationship Type="http://schemas.openxmlformats.org/officeDocument/2006/relationships/worksheet" Target="/xl/worksheets/sheet2.xml" Id="Ref3263e753f64460" /><Relationship Type="http://schemas.openxmlformats.org/officeDocument/2006/relationships/worksheet" Target="/xl/worksheets/sheet3.xml" Id="Ra5c3463d3ce64da3" /><Relationship Type="http://schemas.openxmlformats.org/officeDocument/2006/relationships/worksheet" Target="/xl/worksheets/sheet4.xml" Id="Rdc31cd459d2648f8" /><Relationship Type="http://schemas.openxmlformats.org/officeDocument/2006/relationships/worksheet" Target="/xl/worksheets/sheet5.xml" Id="R156177f0f1874063" /><Relationship Type="http://schemas.openxmlformats.org/officeDocument/2006/relationships/worksheet" Target="/xl/worksheets/sheet6.xml" Id="Rabf484d9082d44d8" /><Relationship Type="http://schemas.openxmlformats.org/officeDocument/2006/relationships/worksheet" Target="/xl/worksheets/sheet7.xml" Id="Rc5e5c572cffa43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59" hidden="0" customWidth="1"/>
  </x:cols>
  <x:sheetData>
    <x:row r="1" ht="30" customHeight="1">
      <x:c r="A1" s="3" t="str">
        <x:v>COCA-COLA | INCOME STATEMENT | USD MILLIONS</x:v>
      </x:c>
      <x:c r="B1" s="3"/>
      <x:c r="C1" s="3"/>
      <x:c r="D1" s="3"/>
      <x:c r="E1" s="3"/>
      <x:c r="F1" s="3"/>
      <x:c r="G1" s="3"/>
    </x:row>
    <x:row r="3" ht="26" customHeight="1">
      <x:c r="A3" s="7" t="str">
        <x:v>Metric</x:v>
      </x:c>
      <x:c r="B3" s="7" t="str">
        <x:v>FY2021</x:v>
      </x:c>
      <x:c r="C3" s="7" t="str">
        <x:v>FY2022</x:v>
      </x:c>
      <x:c r="D3" s="7" t="str">
        <x:v>FY2023</x:v>
      </x:c>
      <x:c r="E3" s="7" t="str">
        <x:v>FY2024</x:v>
      </x:c>
      <x:c r="F3" s="7" t="str">
        <x:v>FY2025</x:v>
      </x:c>
      <x:c r="G3" s="7" t="str">
        <x:v>Source 10-K</x:v>
      </x:c>
    </x:row>
    <x:row r="4">
      <x:c r="A4" s="10" t="str">
        <x:v>Net operating revenues</x:v>
      </x:c>
      <x:c r="B4" s="16" t="n">
        <x:v>38655</x:v>
      </x:c>
      <x:c r="C4" s="16" t="n">
        <x:v>43004</x:v>
      </x:c>
      <x:c r="D4" s="16" t="n">
        <x:v>45754</x:v>
      </x:c>
      <x:c r="E4" s="16" t="n">
        <x:v>47061</x:v>
      </x:c>
      <x:c r="F4" s="16" t="n">
        <x:v>47941</x:v>
      </x:c>
      <x:c r="G4" s="10" t="str">
        <x:v>https://www.sec.gov/Archives/edgar/data/21344/000162828026010047/ko-20251231.htm | https://www.sec.gov/Archives/edgar/data/21344/000002134424000009/ko-20231231.htm</x:v>
      </x:c>
    </x:row>
    <x:row r="5">
      <x:c r="A5" t="str">
        <x:v>Cost of goods sold</x:v>
      </x:c>
      <x:c r="B5" s="17" t="n">
        <x:v>15357</x:v>
      </x:c>
      <x:c r="C5" s="17" t="n">
        <x:v>18000</x:v>
      </x:c>
      <x:c r="D5" s="17" t="n">
        <x:v>18520</x:v>
      </x:c>
      <x:c r="E5" s="17" t="n">
        <x:v>18324</x:v>
      </x:c>
      <x:c r="F5" s="17" t="n">
        <x:v>18397</x:v>
      </x:c>
      <x:c r="G5" t="str">
        <x:v>https://www.sec.gov/Archives/edgar/data/21344/000162828026010047/ko-20251231.htm | https://www.sec.gov/Archives/edgar/data/21344/000002134424000009/ko-20231231.htm</x:v>
      </x:c>
    </x:row>
    <x:row r="6">
      <x:c r="A6" s="10" t="str">
        <x:v>Gross profit</x:v>
      </x:c>
      <x:c r="B6" s="16" t="n">
        <x:v>23298</x:v>
      </x:c>
      <x:c r="C6" s="16" t="n">
        <x:v>25004</x:v>
      </x:c>
      <x:c r="D6" s="16" t="n">
        <x:v>27234</x:v>
      </x:c>
      <x:c r="E6" s="16" t="n">
        <x:v>28737</x:v>
      </x:c>
      <x:c r="F6" s="16" t="n">
        <x:v>29544</x:v>
      </x:c>
      <x:c r="G6" s="10" t="str">
        <x:v>https://www.sec.gov/Archives/edgar/data/21344/000162828026010047/ko-20251231.htm | https://www.sec.gov/Archives/edgar/data/21344/000002134424000009/ko-20231231.htm</x:v>
      </x:c>
    </x:row>
    <x:row r="7">
      <x:c r="A7" t="str">
        <x:v>Selling, general and administrative</x:v>
      </x:c>
      <x:c r="B7" s="17" t="n">
        <x:v>12144</x:v>
      </x:c>
      <x:c r="C7" s="17" t="n">
        <x:v>12880</x:v>
      </x:c>
      <x:c r="D7" s="17" t="n">
        <x:v>13972</x:v>
      </x:c>
      <x:c r="E7" s="17" t="n">
        <x:v>14582</x:v>
      </x:c>
      <x:c r="F7" s="17" t="n">
        <x:v>14521</x:v>
      </x:c>
      <x:c r="G7" t="str">
        <x:v>https://www.sec.gov/Archives/edgar/data/21344/000162828026010047/ko-20251231.htm | https://www.sec.gov/Archives/edgar/data/21344/000002134424000009/ko-20231231.htm</x:v>
      </x:c>
    </x:row>
    <x:row r="8">
      <x:c r="A8" s="10" t="str">
        <x:v>Other operating charges</x:v>
      </x:c>
      <x:c r="B8" s="16" t="n">
        <x:v>846</x:v>
      </x:c>
      <x:c r="C8" s="16" t="n">
        <x:v>1215</x:v>
      </x:c>
      <x:c r="D8" s="16" t="n">
        <x:v>1951</x:v>
      </x:c>
      <x:c r="E8" s="16" t="n">
        <x:v>4163</x:v>
      </x:c>
      <x:c r="F8" s="16" t="n">
        <x:v>1261</x:v>
      </x:c>
      <x:c r="G8" s="10" t="str">
        <x:v>https://www.sec.gov/Archives/edgar/data/21344/000162828026010047/ko-20251231.htm | https://www.sec.gov/Archives/edgar/data/21344/000002134424000009/ko-20231231.htm</x:v>
      </x:c>
    </x:row>
    <x:row r="9">
      <x:c r="A9" t="str">
        <x:v>Operating income</x:v>
      </x:c>
      <x:c r="B9" s="17" t="n">
        <x:v>10308</x:v>
      </x:c>
      <x:c r="C9" s="17" t="n">
        <x:v>10909</x:v>
      </x:c>
      <x:c r="D9" s="17" t="n">
        <x:v>11311</x:v>
      </x:c>
      <x:c r="E9" s="17" t="n">
        <x:v>9992</x:v>
      </x:c>
      <x:c r="F9" s="17" t="n">
        <x:v>13762</x:v>
      </x:c>
      <x:c r="G9" t="str">
        <x:v>https://www.sec.gov/Archives/edgar/data/21344/000162828026010047/ko-20251231.htm | https://www.sec.gov/Archives/edgar/data/21344/000002134424000009/ko-20231231.htm</x:v>
      </x:c>
    </x:row>
    <x:row r="10">
      <x:c r="A10" s="10" t="str">
        <x:v>Interest income</x:v>
      </x:c>
      <x:c r="B10" s="16" t="n">
        <x:v>276</x:v>
      </x:c>
      <x:c r="C10" s="16" t="n">
        <x:v>449</x:v>
      </x:c>
      <x:c r="D10" s="16" t="n">
        <x:v>907</x:v>
      </x:c>
      <x:c r="E10" s="16" t="n">
        <x:v>988</x:v>
      </x:c>
      <x:c r="F10" s="16" t="n">
        <x:v>786</x:v>
      </x:c>
      <x:c r="G10" s="10" t="str">
        <x:v>https://www.sec.gov/Archives/edgar/data/21344/000162828026010047/ko-20251231.htm | https://www.sec.gov/Archives/edgar/data/21344/000002134424000009/ko-20231231.htm</x:v>
      </x:c>
    </x:row>
    <x:row r="11">
      <x:c r="A11" t="str">
        <x:v>Interest expense</x:v>
      </x:c>
      <x:c r="B11" s="17" t="n">
        <x:v>1597</x:v>
      </x:c>
      <x:c r="C11" s="17" t="n">
        <x:v>882</x:v>
      </x:c>
      <x:c r="D11" s="17" t="n">
        <x:v>1527</x:v>
      </x:c>
      <x:c r="E11" s="17" t="n">
        <x:v>1656</x:v>
      </x:c>
      <x:c r="F11" s="17" t="n">
        <x:v>1654</x:v>
      </x:c>
      <x:c r="G11" t="str">
        <x:v>https://www.sec.gov/Archives/edgar/data/21344/000162828026010047/ko-20251231.htm | https://www.sec.gov/Archives/edgar/data/21344/000002134424000009/ko-20231231.htm</x:v>
      </x:c>
    </x:row>
    <x:row r="12">
      <x:c r="A12" s="10" t="str">
        <x:v>Equity income (loss), net</x:v>
      </x:c>
      <x:c r="B12" s="16" t="n">
        <x:v>1438</x:v>
      </x:c>
      <x:c r="C12" s="16" t="n">
        <x:v>1472</x:v>
      </x:c>
      <x:c r="D12" s="16" t="n">
        <x:v>1691</x:v>
      </x:c>
      <x:c r="E12" s="16" t="n">
        <x:v>1770</x:v>
      </x:c>
      <x:c r="F12" s="16" t="n">
        <x:v>2031</x:v>
      </x:c>
      <x:c r="G12" s="10" t="str">
        <x:v>https://www.sec.gov/Archives/edgar/data/21344/000162828026010047/ko-20251231.htm | https://www.sec.gov/Archives/edgar/data/21344/000002134424000009/ko-20231231.htm</x:v>
      </x:c>
    </x:row>
    <x:row r="13">
      <x:c r="A13" t="str">
        <x:v>Other income (loss), net</x:v>
      </x:c>
      <x:c r="B13" s="17" t="n">
        <x:v>2000</x:v>
      </x:c>
      <x:c r="C13" s="17" t="n">
        <x:v>-262</x:v>
      </x:c>
      <x:c r="D13" s="17" t="n">
        <x:v>570</x:v>
      </x:c>
      <x:c r="E13" s="17" t="n">
        <x:v>1992</x:v>
      </x:c>
      <x:c r="F13" s="17" t="n">
        <x:v>1073</x:v>
      </x:c>
      <x:c r="G13" t="str">
        <x:v>https://www.sec.gov/Archives/edgar/data/21344/000162828026010047/ko-20251231.htm | https://www.sec.gov/Archives/edgar/data/21344/000002134424000009/ko-20231231.htm</x:v>
      </x:c>
    </x:row>
    <x:row r="14">
      <x:c r="A14" s="10" t="str">
        <x:v>Income before taxes</x:v>
      </x:c>
      <x:c r="B14" s="16" t="n">
        <x:v>12425</x:v>
      </x:c>
      <x:c r="C14" s="16" t="n">
        <x:v>11686</x:v>
      </x:c>
      <x:c r="D14" s="16" t="n">
        <x:v>12952</x:v>
      </x:c>
      <x:c r="E14" s="16" t="n">
        <x:v>13086</x:v>
      </x:c>
      <x:c r="F14" s="16" t="n">
        <x:v>15998</x:v>
      </x:c>
      <x:c r="G14" s="10" t="str">
        <x:v>https://www.sec.gov/Archives/edgar/data/21344/000162828026010047/ko-20251231.htm | https://www.sec.gov/Archives/edgar/data/21344/000002134424000009/ko-20231231.htm</x:v>
      </x:c>
    </x:row>
    <x:row r="15">
      <x:c r="A15" t="str">
        <x:v>Income taxes</x:v>
      </x:c>
      <x:c r="B15" s="17" t="n">
        <x:v>2621</x:v>
      </x:c>
      <x:c r="C15" s="17" t="n">
        <x:v>2115</x:v>
      </x:c>
      <x:c r="D15" s="17" t="n">
        <x:v>2249</x:v>
      </x:c>
      <x:c r="E15" s="17" t="n">
        <x:v>2437</x:v>
      </x:c>
      <x:c r="F15" s="17" t="n">
        <x:v>2861</x:v>
      </x:c>
      <x:c r="G15" t="str">
        <x:v>https://www.sec.gov/Archives/edgar/data/21344/000162828026010047/ko-20251231.htm | https://www.sec.gov/Archives/edgar/data/21344/000002134424000009/ko-20231231.htm</x:v>
      </x:c>
    </x:row>
    <x:row r="16">
      <x:c r="A16" s="10" t="str">
        <x:v>Consolidated net income</x:v>
      </x:c>
      <x:c r="B16" s="16" t="n">
        <x:v>9804</x:v>
      </x:c>
      <x:c r="C16" s="16" t="n">
        <x:v>9571</x:v>
      </x:c>
      <x:c r="D16" s="16" t="n">
        <x:v>10703</x:v>
      </x:c>
      <x:c r="E16" s="16" t="n">
        <x:v>10649</x:v>
      </x:c>
      <x:c r="F16" s="16" t="n">
        <x:v>13137</x:v>
      </x:c>
      <x:c r="G16" s="10" t="str">
        <x:v>https://www.sec.gov/Archives/edgar/data/21344/000162828026010047/ko-20251231.htm | https://www.sec.gov/Archives/edgar/data/21344/000002134424000009/ko-20231231.htm</x:v>
      </x:c>
    </x:row>
    <x:row r="17">
      <x:c r="A17" t="str">
        <x:v>NI attributable to noncontrolling interests</x:v>
      </x:c>
      <x:c r="B17" s="17" t="n">
        <x:v>33</x:v>
      </x:c>
      <x:c r="C17" s="17" t="n">
        <x:v>29</x:v>
      </x:c>
      <x:c r="D17" s="17" t="n">
        <x:v>-11</x:v>
      </x:c>
      <x:c r="E17" s="17" t="n">
        <x:v>18</x:v>
      </x:c>
      <x:c r="F17" s="17" t="n">
        <x:v>30</x:v>
      </x:c>
      <x:c r="G17" t="str">
        <x:v>https://www.sec.gov/Archives/edgar/data/21344/000162828026010047/ko-20251231.htm | https://www.sec.gov/Archives/edgar/data/21344/000002134424000009/ko-20231231.htm</x:v>
      </x:c>
    </x:row>
    <x:row r="18">
      <x:c r="A18" s="10" t="str">
        <x:v>NI attributable to shareowners</x:v>
      </x:c>
      <x:c r="B18" s="16" t="n">
        <x:v>9771</x:v>
      </x:c>
      <x:c r="C18" s="16" t="n">
        <x:v>9542</x:v>
      </x:c>
      <x:c r="D18" s="16" t="n">
        <x:v>10714</x:v>
      </x:c>
      <x:c r="E18" s="16" t="n">
        <x:v>10631</x:v>
      </x:c>
      <x:c r="F18" s="16" t="n">
        <x:v>13107</x:v>
      </x:c>
      <x:c r="G18" s="10" t="str">
        <x:v>https://www.sec.gov/Archives/edgar/data/21344/000162828026010047/ko-20251231.htm | https://www.sec.gov/Archives/edgar/data/21344/000002134424000009/ko-20231231.htm</x:v>
      </x:c>
    </x:row>
    <x:row r="19">
      <x:c r="A19" t="str">
        <x:v>Diluted EPS ($/share)</x:v>
      </x:c>
      <x:c r="B19" s="17" t="n">
        <x:v>2.25</x:v>
      </x:c>
      <x:c r="C19" s="17" t="n">
        <x:v>2.19</x:v>
      </x:c>
      <x:c r="D19" s="17" t="n">
        <x:v>2.47</x:v>
      </x:c>
      <x:c r="E19" s="17" t="n">
        <x:v>2.46</x:v>
      </x:c>
      <x:c r="F19" s="17" t="n">
        <x:v>3.04</x:v>
      </x:c>
      <x:c r="G19" t="str">
        <x:v>https://www.sec.gov/Archives/edgar/data/21344/000162828026010047/ko-20251231.htm | https://www.sec.gov/Archives/edgar/data/21344/000002134424000009/ko-20231231.htm</x:v>
      </x:c>
    </x:row>
    <x:row r="20">
      <x:c r="B20" s="17"/>
      <x:c r="C20" s="17"/>
      <x:c r="D20" s="17"/>
      <x:c r="E20" s="17"/>
      <x:c r="F20" s="17"/>
    </x:row>
    <x:row r="21">
      <x:c r="B21" s="17"/>
      <x:c r="C21" s="17"/>
      <x:c r="D21" s="17"/>
      <x:c r="E21" s="17"/>
      <x:c r="F21" s="17"/>
    </x:row>
    <x:row r="22">
      <x:c r="B22" s="17"/>
      <x:c r="C22" s="17"/>
      <x:c r="D22" s="17"/>
      <x:c r="E22" s="17"/>
      <x:c r="F22" s="17"/>
    </x:row>
    <x:row r="23">
      <x:c r="B23" s="17"/>
      <x:c r="C23" s="17"/>
      <x:c r="D23" s="17"/>
      <x:c r="E23" s="17"/>
      <x:c r="F23" s="17"/>
    </x:row>
    <x:row r="24">
      <x:c r="B24" s="17"/>
      <x:c r="C24" s="17"/>
      <x:c r="D24" s="17"/>
      <x:c r="E24" s="17"/>
      <x:c r="F24" s="17"/>
    </x:row>
    <x:row r="25">
      <x:c r="B25" s="17"/>
      <x:c r="C25" s="17"/>
      <x:c r="D25" s="17"/>
      <x:c r="E25" s="17"/>
      <x:c r="F25" s="17"/>
    </x:row>
    <x:row r="26">
      <x:c r="B26" s="17"/>
      <x:c r="C26" s="17"/>
      <x:c r="D26" s="17"/>
      <x:c r="E26" s="17"/>
      <x:c r="F26" s="17"/>
    </x:row>
    <x:row r="27">
      <x:c r="B27" s="17"/>
      <x:c r="C27" s="17"/>
      <x:c r="D27" s="17"/>
      <x:c r="E27" s="17"/>
      <x:c r="F27" s="17"/>
    </x:row>
    <x:row r="28">
      <x:c r="B28" s="17"/>
      <x:c r="C28" s="17"/>
      <x:c r="D28" s="17"/>
      <x:c r="E28" s="17"/>
      <x:c r="F28" s="17"/>
    </x:row>
    <x:row r="29">
      <x:c r="B29" s="17"/>
      <x:c r="C29" s="17"/>
      <x:c r="D29" s="17"/>
      <x:c r="E29" s="17"/>
      <x:c r="F29" s="17"/>
    </x:row>
    <x:row r="30">
      <x:c r="B30" s="17"/>
      <x:c r="C30" s="17"/>
      <x:c r="D30" s="17"/>
      <x:c r="E30" s="17"/>
      <x:c r="F30" s="17"/>
    </x:row>
    <x:row r="31">
      <x:c r="B31" s="17"/>
      <x:c r="C31" s="17"/>
      <x:c r="D31" s="17"/>
      <x:c r="E31" s="17"/>
      <x:c r="F31" s="17"/>
    </x:row>
    <x:row r="32">
      <x:c r="B32" s="17"/>
      <x:c r="C32" s="17"/>
      <x:c r="D32" s="17"/>
      <x:c r="E32" s="17"/>
      <x:c r="F32" s="17"/>
    </x:row>
    <x:row r="33">
      <x:c r="B33" s="17"/>
      <x:c r="C33" s="17"/>
      <x:c r="D33" s="17"/>
      <x:c r="E33" s="17"/>
      <x:c r="F33" s="17"/>
    </x:row>
    <x:row r="34">
      <x:c r="B34" s="17"/>
      <x:c r="C34" s="17"/>
      <x:c r="D34" s="17"/>
      <x:c r="E34" s="17"/>
      <x:c r="F34" s="17"/>
    </x:row>
    <x:row r="35">
      <x:c r="B35" s="17"/>
      <x:c r="C35" s="17"/>
      <x:c r="D35" s="17"/>
      <x:c r="E35" s="17"/>
      <x:c r="F35" s="17"/>
    </x:row>
    <x:row r="36">
      <x:c r="B36" s="17"/>
      <x:c r="C36" s="17"/>
      <x:c r="D36" s="17"/>
      <x:c r="E36" s="17"/>
      <x:c r="F36" s="17"/>
    </x:row>
    <x:row r="37">
      <x:c r="B37" s="17"/>
      <x:c r="C37" s="17"/>
      <x:c r="D37" s="17"/>
      <x:c r="E37" s="17"/>
      <x:c r="F37" s="17"/>
    </x:row>
    <x:row r="38">
      <x:c r="B38" s="17"/>
      <x:c r="C38" s="17"/>
      <x:c r="D38" s="17"/>
      <x:c r="E38" s="17"/>
      <x:c r="F38" s="17"/>
    </x:row>
    <x:row r="39">
      <x:c r="B39" s="17"/>
      <x:c r="C39" s="17"/>
      <x:c r="D39" s="17"/>
      <x:c r="E39" s="17"/>
      <x:c r="F39" s="17"/>
    </x:row>
    <x:row r="40">
      <x:c r="B40" s="17"/>
      <x:c r="C40" s="17"/>
      <x:c r="D40" s="17"/>
      <x:c r="E40" s="17"/>
      <x:c r="F40" s="17"/>
    </x:row>
    <x:row r="41">
      <x:c r="B41" s="17"/>
      <x:c r="C41" s="17"/>
      <x:c r="D41" s="17"/>
      <x:c r="E41" s="17"/>
      <x:c r="F41" s="17"/>
    </x:row>
    <x:row r="42">
      <x:c r="B42" s="17"/>
      <x:c r="C42" s="17"/>
      <x:c r="D42" s="17"/>
      <x:c r="E42" s="17"/>
      <x:c r="F42" s="17"/>
    </x:row>
    <x:row r="43">
      <x:c r="B43" s="17"/>
      <x:c r="C43" s="17"/>
      <x:c r="D43" s="17"/>
      <x:c r="E43" s="17"/>
      <x:c r="F43" s="17"/>
    </x:row>
    <x:row r="44">
      <x:c r="B44" s="17"/>
      <x:c r="C44" s="17"/>
      <x:c r="D44" s="17"/>
      <x:c r="E44" s="17"/>
      <x:c r="F44" s="17"/>
    </x:row>
    <x:row r="45">
      <x:c r="B45" s="17"/>
      <x:c r="C45" s="17"/>
      <x:c r="D45" s="17"/>
      <x:c r="E45" s="17"/>
      <x:c r="F45" s="17"/>
    </x:row>
    <x:row r="46">
      <x:c r="B46" s="17"/>
      <x:c r="C46" s="17"/>
      <x:c r="D46" s="17"/>
      <x:c r="E46" s="17"/>
      <x:c r="F46" s="17"/>
    </x:row>
    <x:row r="47">
      <x:c r="B47" s="17"/>
      <x:c r="C47" s="17"/>
      <x:c r="D47" s="17"/>
      <x:c r="E47" s="17"/>
      <x:c r="F47" s="17"/>
    </x:row>
    <x:row r="48">
      <x:c r="B48" s="17"/>
      <x:c r="C48" s="17"/>
      <x:c r="D48" s="17"/>
      <x:c r="E48" s="17"/>
      <x:c r="F48" s="17"/>
    </x:row>
    <x:row r="49">
      <x:c r="B49" s="17"/>
      <x:c r="C49" s="17"/>
      <x:c r="D49" s="17"/>
      <x:c r="E49" s="17"/>
      <x:c r="F49" s="17"/>
    </x:row>
    <x:row r="50">
      <x:c r="B50" s="17"/>
      <x:c r="C50" s="17"/>
      <x:c r="D50" s="17"/>
      <x:c r="E50" s="17"/>
      <x:c r="F50" s="17"/>
    </x:row>
    <x:row r="51">
      <x:c r="B51" s="17"/>
      <x:c r="C51" s="17"/>
      <x:c r="D51" s="17"/>
      <x:c r="E51" s="17"/>
      <x:c r="F51" s="17"/>
    </x:row>
    <x:row r="52">
      <x:c r="B52" s="17"/>
      <x:c r="C52" s="17"/>
      <x:c r="D52" s="17"/>
      <x:c r="E52" s="17"/>
      <x:c r="F52" s="17"/>
    </x:row>
    <x:row r="53">
      <x:c r="B53" s="17"/>
      <x:c r="C53" s="17"/>
      <x:c r="D53" s="17"/>
      <x:c r="E53" s="17"/>
      <x:c r="F53" s="17"/>
    </x:row>
    <x:row r="54">
      <x:c r="B54" s="17"/>
      <x:c r="C54" s="17"/>
      <x:c r="D54" s="17"/>
      <x:c r="E54" s="17"/>
      <x:c r="F54" s="17"/>
    </x:row>
    <x:row r="55">
      <x:c r="B55" s="17"/>
      <x:c r="C55" s="17"/>
      <x:c r="D55" s="17"/>
      <x:c r="E55" s="17"/>
      <x:c r="F55" s="17"/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59" hidden="0" customWidth="1"/>
  </x:cols>
  <x:sheetData>
    <x:row r="1" ht="30" customHeight="1">
      <x:c r="A1" s="3" t="str">
        <x:v>COCA-COLA | CASH FLOW | USD MILLIONS</x:v>
      </x:c>
      <x:c r="B1" s="3"/>
      <x:c r="C1" s="3"/>
      <x:c r="D1" s="3"/>
      <x:c r="E1" s="3"/>
      <x:c r="F1" s="3"/>
      <x:c r="G1" s="3"/>
    </x:row>
    <x:row r="3" ht="26" customHeight="1">
      <x:c r="A3" s="7" t="str">
        <x:v>Metric</x:v>
      </x:c>
      <x:c r="B3" s="7" t="str">
        <x:v>FY2021</x:v>
      </x:c>
      <x:c r="C3" s="7" t="str">
        <x:v>FY2022</x:v>
      </x:c>
      <x:c r="D3" s="7" t="str">
        <x:v>FY2023</x:v>
      </x:c>
      <x:c r="E3" s="7" t="str">
        <x:v>FY2024</x:v>
      </x:c>
      <x:c r="F3" s="7" t="str">
        <x:v>FY2025</x:v>
      </x:c>
      <x:c r="G3" s="7" t="str">
        <x:v>Source 10-K</x:v>
      </x:c>
    </x:row>
    <x:row r="4">
      <x:c r="A4" s="10" t="str">
        <x:v>Consolidated net income</x:v>
      </x:c>
      <x:c r="B4" s="16" t="n">
        <x:v>9804</x:v>
      </x:c>
      <x:c r="C4" s="16" t="n">
        <x:v>9571</x:v>
      </x:c>
      <x:c r="D4" s="16" t="n">
        <x:v>10703</x:v>
      </x:c>
      <x:c r="E4" s="16" t="n">
        <x:v>10649</x:v>
      </x:c>
      <x:c r="F4" s="16" t="n">
        <x:v>13137</x:v>
      </x:c>
      <x:c r="G4" s="10" t="str">
        <x:v>https://www.sec.gov/Archives/edgar/data/21344/000162828026010047/ko-20251231.htm | https://www.sec.gov/Archives/edgar/data/21344/000002134424000009/ko-20231231.htm</x:v>
      </x:c>
    </x:row>
    <x:row r="5">
      <x:c r="A5" t="str">
        <x:v>Depreciation and amortization</x:v>
      </x:c>
      <x:c r="B5" s="17" t="n">
        <x:v>1452</x:v>
      </x:c>
      <x:c r="C5" s="17" t="n">
        <x:v>1260</x:v>
      </x:c>
      <x:c r="D5" s="17" t="n">
        <x:v>1128</x:v>
      </x:c>
      <x:c r="E5" s="17" t="n">
        <x:v>1075</x:v>
      </x:c>
      <x:c r="F5" s="17" t="n">
        <x:v>1050</x:v>
      </x:c>
      <x:c r="G5" t="str">
        <x:v>https://www.sec.gov/Archives/edgar/data/21344/000162828026010047/ko-20251231.htm | https://www.sec.gov/Archives/edgar/data/21344/000002134424000009/ko-20231231.htm</x:v>
      </x:c>
    </x:row>
    <x:row r="6">
      <x:c r="A6" s="10" t="str">
        <x:v>Stock-based compensation</x:v>
      </x:c>
      <x:c r="B6" s="16" t="n">
        <x:v>337</x:v>
      </x:c>
      <x:c r="C6" s="16" t="n">
        <x:v>356</x:v>
      </x:c>
      <x:c r="D6" s="16" t="n">
        <x:v>254</x:v>
      </x:c>
      <x:c r="E6" s="16" t="n">
        <x:v>286</x:v>
      </x:c>
      <x:c r="F6" s="16" t="n">
        <x:v>279</x:v>
      </x:c>
      <x:c r="G6" s="10" t="str">
        <x:v>https://www.sec.gov/Archives/edgar/data/21344/000162828026010047/ko-20251231.htm | https://www.sec.gov/Archives/edgar/data/21344/000002134424000009/ko-20231231.htm</x:v>
      </x:c>
    </x:row>
    <x:row r="7">
      <x:c r="A7" t="str">
        <x:v>Deferred income taxes</x:v>
      </x:c>
      <x:c r="B7" s="17" t="n">
        <x:v>894</x:v>
      </x:c>
      <x:c r="C7" s="17" t="n">
        <x:v>-122</x:v>
      </x:c>
      <x:c r="D7" s="17" t="n">
        <x:v>-2</x:v>
      </x:c>
      <x:c r="E7" s="17" t="n">
        <x:v>-11</x:v>
      </x:c>
      <x:c r="F7" s="17" t="n">
        <x:v>517</x:v>
      </x:c>
      <x:c r="G7" t="str">
        <x:v>https://www.sec.gov/Archives/edgar/data/21344/000162828026010047/ko-20251231.htm | https://www.sec.gov/Archives/edgar/data/21344/000002134424000009/ko-20231231.htm</x:v>
      </x:c>
    </x:row>
    <x:row r="8">
      <x:c r="A8" s="10" t="str">
        <x:v>Equity income, net of dividends</x:v>
      </x:c>
      <x:c r="B8" s="16" t="n">
        <x:v>-615</x:v>
      </x:c>
      <x:c r="C8" s="16" t="n">
        <x:v>-838</x:v>
      </x:c>
      <x:c r="D8" s="16" t="n">
        <x:v>-1019</x:v>
      </x:c>
      <x:c r="E8" s="16" t="n">
        <x:v>-802</x:v>
      </x:c>
      <x:c r="F8" s="16" t="n">
        <x:v>-1038</x:v>
      </x:c>
      <x:c r="G8" s="10" t="str">
        <x:v>https://www.sec.gov/Archives/edgar/data/21344/000162828026010047/ko-20251231.htm | https://www.sec.gov/Archives/edgar/data/21344/000002134424000009/ko-20231231.htm</x:v>
      </x:c>
    </x:row>
    <x:row r="9">
      <x:c r="A9" t="str">
        <x:v>Foreign currency adjustments</x:v>
      </x:c>
      <x:c r="B9" s="17" t="n">
        <x:v>86</x:v>
      </x:c>
      <x:c r="C9" s="17" t="n">
        <x:v>203</x:v>
      </x:c>
      <x:c r="D9" s="17" t="n">
        <x:v>175</x:v>
      </x:c>
      <x:c r="E9" s="17" t="n">
        <x:v>-110</x:v>
      </x:c>
      <x:c r="F9" s="17" t="n">
        <x:v>191</x:v>
      </x:c>
      <x:c r="G9" t="str">
        <x:v>https://www.sec.gov/Archives/edgar/data/21344/000162828026010047/ko-20251231.htm | https://www.sec.gov/Archives/edgar/data/21344/000002134424000009/ko-20231231.htm</x:v>
      </x:c>
    </x:row>
    <x:row r="10">
      <x:c r="A10" s="10" t="str">
        <x:v>Significant gains / losses</x:v>
      </x:c>
      <x:c r="B10" s="16" t="n">
        <x:v>-1365</x:v>
      </x:c>
      <x:c r="C10" s="16" t="n">
        <x:v>-129</x:v>
      </x:c>
      <x:c r="D10" s="16" t="n">
        <x:v>-492</x:v>
      </x:c>
      <x:c r="E10" s="16" t="n">
        <x:v>-1737</x:v>
      </x:c>
      <x:c r="F10" s="16" t="n">
        <x:v>-713</x:v>
      </x:c>
      <x:c r="G10" s="10" t="str">
        <x:v>https://www.sec.gov/Archives/edgar/data/21344/000162828026010047/ko-20251231.htm | https://www.sec.gov/Archives/edgar/data/21344/000002134424000009/ko-20231231.htm</x:v>
      </x:c>
    </x:row>
    <x:row r="11">
      <x:c r="A11" t="str">
        <x:v>Other operating charges adjustments</x:v>
      </x:c>
      <x:c r="B11" s="17" t="n">
        <x:v>506</x:v>
      </x:c>
      <x:c r="C11" s="17" t="n">
        <x:v>1086</x:v>
      </x:c>
      <x:c r="D11" s="17" t="n">
        <x:v>1741</x:v>
      </x:c>
      <x:c r="E11" s="17" t="n">
        <x:v>4000</x:v>
      </x:c>
      <x:c r="F11" s="17" t="n">
        <x:v>1052</x:v>
      </x:c>
      <x:c r="G11" t="str">
        <x:v>https://www.sec.gov/Archives/edgar/data/21344/000162828026010047/ko-20251231.htm | https://www.sec.gov/Archives/edgar/data/21344/000002134424000009/ko-20231231.htm</x:v>
      </x:c>
    </x:row>
    <x:row r="12">
      <x:c r="A12" s="10" t="str">
        <x:v>Other items</x:v>
      </x:c>
      <x:c r="B12" s="16" t="n">
        <x:v>201</x:v>
      </x:c>
      <x:c r="C12" s="16" t="n">
        <x:v>236</x:v>
      </x:c>
      <x:c r="D12" s="16" t="n">
        <x:v>-43</x:v>
      </x:c>
      <x:c r="E12" s="16" t="n">
        <x:v>-311</x:v>
      </x:c>
      <x:c r="F12" s="16" t="n">
        <x:v>141</x:v>
      </x:c>
      <x:c r="G12" s="10" t="str">
        <x:v>https://www.sec.gov/Archives/edgar/data/21344/000162828026010047/ko-20251231.htm | https://www.sec.gov/Archives/edgar/data/21344/000002134424000009/ko-20231231.htm</x:v>
      </x:c>
    </x:row>
    <x:row r="13">
      <x:c r="A13" t="str">
        <x:v>Net change in operating assets/liabilities</x:v>
      </x:c>
      <x:c r="B13" s="17" t="n">
        <x:v>1325</x:v>
      </x:c>
      <x:c r="C13" s="17" t="n">
        <x:v>-605</x:v>
      </x:c>
      <x:c r="D13" s="17" t="n">
        <x:v>-846</x:v>
      </x:c>
      <x:c r="E13" s="17" t="n">
        <x:v>-6234</x:v>
      </x:c>
      <x:c r="F13" s="17" t="n">
        <x:v>-7208</x:v>
      </x:c>
      <x:c r="G13" t="str">
        <x:v>https://www.sec.gov/Archives/edgar/data/21344/000162828026010047/ko-20251231.htm | https://www.sec.gov/Archives/edgar/data/21344/000002134424000009/ko-20231231.htm</x:v>
      </x:c>
    </x:row>
    <x:row r="14">
      <x:c r="A14" s="10" t="str">
        <x:v>Net cash provided by operating activities</x:v>
      </x:c>
      <x:c r="B14" s="16" t="n">
        <x:v>12625</x:v>
      </x:c>
      <x:c r="C14" s="16" t="n">
        <x:v>11018</x:v>
      </x:c>
      <x:c r="D14" s="16" t="n">
        <x:v>11599</x:v>
      </x:c>
      <x:c r="E14" s="16" t="n">
        <x:v>6805</x:v>
      </x:c>
      <x:c r="F14" s="16" t="n">
        <x:v>7408</x:v>
      </x:c>
      <x:c r="G14" s="10" t="str">
        <x:v>https://www.sec.gov/Archives/edgar/data/21344/000162828026010047/ko-20251231.htm | https://www.sec.gov/Archives/edgar/data/21344/000002134424000009/ko-20231231.htm</x:v>
      </x:c>
    </x:row>
    <x:row r="15">
      <x:c r="A15" t="str">
        <x:v>Purchases of PP&amp;E (cash outflow)</x:v>
      </x:c>
      <x:c r="B15" s="17" t="n">
        <x:v>-1367</x:v>
      </x:c>
      <x:c r="C15" s="17" t="n">
        <x:v>-1484</x:v>
      </x:c>
      <x:c r="D15" s="17" t="n">
        <x:v>-1852</x:v>
      </x:c>
      <x:c r="E15" s="17" t="n">
        <x:v>-2064</x:v>
      </x:c>
      <x:c r="F15" s="17" t="n">
        <x:v>-2112</x:v>
      </x:c>
      <x:c r="G15" t="str">
        <x:v>https://www.sec.gov/Archives/edgar/data/21344/000162828026010047/ko-20251231.htm | https://www.sec.gov/Archives/edgar/data/21344/000002134424000009/ko-20231231.htm</x:v>
      </x:c>
    </x:row>
    <x:row r="16">
      <x:c r="A16" s="10" t="str">
        <x:v>Dividends (cash outflow)</x:v>
      </x:c>
      <x:c r="B16" s="16" t="n">
        <x:v>-7252</x:v>
      </x:c>
      <x:c r="C16" s="16" t="n">
        <x:v>-7616</x:v>
      </x:c>
      <x:c r="D16" s="16" t="n">
        <x:v>-7952</x:v>
      </x:c>
      <x:c r="E16" s="16" t="n">
        <x:v>-8359</x:v>
      </x:c>
      <x:c r="F16" s="16" t="n">
        <x:v>-8779</x:v>
      </x:c>
      <x:c r="G16" s="10" t="str">
        <x:v>https://www.sec.gov/Archives/edgar/data/21344/000162828026010047/ko-20251231.htm | https://www.sec.gov/Archives/edgar/data/21344/000002134424000009/ko-20231231.htm</x:v>
      </x:c>
    </x:row>
    <x:row r="17">
      <x:c r="B17" s="17"/>
      <x:c r="C17" s="17"/>
      <x:c r="D17" s="17"/>
      <x:c r="E17" s="17"/>
      <x:c r="F17" s="17"/>
    </x:row>
    <x:row r="18">
      <x:c r="B18" s="17"/>
      <x:c r="C18" s="17"/>
      <x:c r="D18" s="17"/>
      <x:c r="E18" s="17"/>
      <x:c r="F18" s="17"/>
    </x:row>
    <x:row r="19">
      <x:c r="B19" s="17"/>
      <x:c r="C19" s="17"/>
      <x:c r="D19" s="17"/>
      <x:c r="E19" s="17"/>
      <x:c r="F19" s="17"/>
    </x:row>
    <x:row r="20">
      <x:c r="B20" s="17"/>
      <x:c r="C20" s="17"/>
      <x:c r="D20" s="17"/>
      <x:c r="E20" s="17"/>
      <x:c r="F20" s="17"/>
    </x:row>
    <x:row r="21">
      <x:c r="B21" s="17"/>
      <x:c r="C21" s="17"/>
      <x:c r="D21" s="17"/>
      <x:c r="E21" s="17"/>
      <x:c r="F21" s="17"/>
    </x:row>
    <x:row r="22">
      <x:c r="B22" s="17"/>
      <x:c r="C22" s="17"/>
      <x:c r="D22" s="17"/>
      <x:c r="E22" s="17"/>
      <x:c r="F22" s="17"/>
    </x:row>
    <x:row r="23">
      <x:c r="B23" s="17"/>
      <x:c r="C23" s="17"/>
      <x:c r="D23" s="17"/>
      <x:c r="E23" s="17"/>
      <x:c r="F23" s="17"/>
    </x:row>
    <x:row r="24">
      <x:c r="B24" s="17"/>
      <x:c r="C24" s="17"/>
      <x:c r="D24" s="17"/>
      <x:c r="E24" s="17"/>
      <x:c r="F24" s="17"/>
    </x:row>
    <x:row r="25">
      <x:c r="B25" s="17"/>
      <x:c r="C25" s="17"/>
      <x:c r="D25" s="17"/>
      <x:c r="E25" s="17"/>
      <x:c r="F25" s="17"/>
    </x:row>
    <x:row r="26">
      <x:c r="B26" s="17"/>
      <x:c r="C26" s="17"/>
      <x:c r="D26" s="17"/>
      <x:c r="E26" s="17"/>
      <x:c r="F26" s="17"/>
    </x:row>
    <x:row r="27">
      <x:c r="B27" s="17"/>
      <x:c r="C27" s="17"/>
      <x:c r="D27" s="17"/>
      <x:c r="E27" s="17"/>
      <x:c r="F27" s="17"/>
    </x:row>
    <x:row r="28">
      <x:c r="B28" s="17"/>
      <x:c r="C28" s="17"/>
      <x:c r="D28" s="17"/>
      <x:c r="E28" s="17"/>
      <x:c r="F28" s="17"/>
    </x:row>
    <x:row r="29">
      <x:c r="B29" s="17"/>
      <x:c r="C29" s="17"/>
      <x:c r="D29" s="17"/>
      <x:c r="E29" s="17"/>
      <x:c r="F29" s="17"/>
    </x:row>
    <x:row r="30">
      <x:c r="B30" s="17"/>
      <x:c r="C30" s="17"/>
      <x:c r="D30" s="17"/>
      <x:c r="E30" s="17"/>
      <x:c r="F30" s="17"/>
    </x:row>
    <x:row r="31">
      <x:c r="B31" s="17"/>
      <x:c r="C31" s="17"/>
      <x:c r="D31" s="17"/>
      <x:c r="E31" s="17"/>
      <x:c r="F31" s="17"/>
    </x:row>
    <x:row r="32">
      <x:c r="B32" s="17"/>
      <x:c r="C32" s="17"/>
      <x:c r="D32" s="17"/>
      <x:c r="E32" s="17"/>
      <x:c r="F32" s="17"/>
    </x:row>
    <x:row r="33">
      <x:c r="B33" s="17"/>
      <x:c r="C33" s="17"/>
      <x:c r="D33" s="17"/>
      <x:c r="E33" s="17"/>
      <x:c r="F33" s="17"/>
    </x:row>
    <x:row r="34">
      <x:c r="B34" s="17"/>
      <x:c r="C34" s="17"/>
      <x:c r="D34" s="17"/>
      <x:c r="E34" s="17"/>
      <x:c r="F34" s="17"/>
    </x:row>
    <x:row r="35">
      <x:c r="B35" s="17"/>
      <x:c r="C35" s="17"/>
      <x:c r="D35" s="17"/>
      <x:c r="E35" s="17"/>
      <x:c r="F35" s="17"/>
    </x:row>
    <x:row r="36">
      <x:c r="B36" s="17"/>
      <x:c r="C36" s="17"/>
      <x:c r="D36" s="17"/>
      <x:c r="E36" s="17"/>
      <x:c r="F36" s="17"/>
    </x:row>
    <x:row r="37">
      <x:c r="B37" s="17"/>
      <x:c r="C37" s="17"/>
      <x:c r="D37" s="17"/>
      <x:c r="E37" s="17"/>
      <x:c r="F37" s="17"/>
    </x:row>
    <x:row r="38">
      <x:c r="B38" s="17"/>
      <x:c r="C38" s="17"/>
      <x:c r="D38" s="17"/>
      <x:c r="E38" s="17"/>
      <x:c r="F38" s="17"/>
    </x:row>
    <x:row r="39">
      <x:c r="B39" s="17"/>
      <x:c r="C39" s="17"/>
      <x:c r="D39" s="17"/>
      <x:c r="E39" s="17"/>
      <x:c r="F39" s="17"/>
    </x:row>
    <x:row r="40">
      <x:c r="B40" s="17"/>
      <x:c r="C40" s="17"/>
      <x:c r="D40" s="17"/>
      <x:c r="E40" s="17"/>
      <x:c r="F40" s="17"/>
    </x:row>
    <x:row r="41">
      <x:c r="B41" s="17"/>
      <x:c r="C41" s="17"/>
      <x:c r="D41" s="17"/>
      <x:c r="E41" s="17"/>
      <x:c r="F41" s="17"/>
    </x:row>
    <x:row r="42">
      <x:c r="B42" s="17"/>
      <x:c r="C42" s="17"/>
      <x:c r="D42" s="17"/>
      <x:c r="E42" s="17"/>
      <x:c r="F42" s="17"/>
    </x:row>
    <x:row r="43">
      <x:c r="B43" s="17"/>
      <x:c r="C43" s="17"/>
      <x:c r="D43" s="17"/>
      <x:c r="E43" s="17"/>
      <x:c r="F43" s="17"/>
    </x:row>
    <x:row r="44">
      <x:c r="B44" s="17"/>
      <x:c r="C44" s="17"/>
      <x:c r="D44" s="17"/>
      <x:c r="E44" s="17"/>
      <x:c r="F44" s="17"/>
    </x:row>
    <x:row r="45">
      <x:c r="B45" s="17"/>
      <x:c r="C45" s="17"/>
      <x:c r="D45" s="17"/>
      <x:c r="E45" s="17"/>
      <x:c r="F45" s="17"/>
    </x:row>
    <x:row r="46">
      <x:c r="B46" s="17"/>
      <x:c r="C46" s="17"/>
      <x:c r="D46" s="17"/>
      <x:c r="E46" s="17"/>
      <x:c r="F46" s="17"/>
    </x:row>
    <x:row r="47">
      <x:c r="B47" s="17"/>
      <x:c r="C47" s="17"/>
      <x:c r="D47" s="17"/>
      <x:c r="E47" s="17"/>
      <x:c r="F47" s="17"/>
    </x:row>
    <x:row r="48">
      <x:c r="B48" s="17"/>
      <x:c r="C48" s="17"/>
      <x:c r="D48" s="17"/>
      <x:c r="E48" s="17"/>
      <x:c r="F48" s="17"/>
    </x:row>
    <x:row r="49">
      <x:c r="B49" s="17"/>
      <x:c r="C49" s="17"/>
      <x:c r="D49" s="17"/>
      <x:c r="E49" s="17"/>
      <x:c r="F49" s="17"/>
    </x:row>
    <x:row r="50">
      <x:c r="B50" s="17"/>
      <x:c r="C50" s="17"/>
      <x:c r="D50" s="17"/>
      <x:c r="E50" s="17"/>
      <x:c r="F50" s="17"/>
    </x:row>
    <x:row r="51">
      <x:c r="B51" s="17"/>
      <x:c r="C51" s="17"/>
      <x:c r="D51" s="17"/>
      <x:c r="E51" s="17"/>
      <x:c r="F51" s="17"/>
    </x:row>
    <x:row r="52">
      <x:c r="B52" s="17"/>
      <x:c r="C52" s="17"/>
      <x:c r="D52" s="17"/>
      <x:c r="E52" s="17"/>
      <x:c r="F52" s="17"/>
    </x:row>
    <x:row r="53">
      <x:c r="B53" s="17"/>
      <x:c r="C53" s="17"/>
      <x:c r="D53" s="17"/>
      <x:c r="E53" s="17"/>
      <x:c r="F53" s="17"/>
    </x:row>
    <x:row r="54">
      <x:c r="B54" s="17"/>
      <x:c r="C54" s="17"/>
      <x:c r="D54" s="17"/>
      <x:c r="E54" s="17"/>
      <x:c r="F54" s="17"/>
    </x:row>
    <x:row r="55">
      <x:c r="B55" s="17"/>
      <x:c r="C55" s="17"/>
      <x:c r="D55" s="17"/>
      <x:c r="E55" s="17"/>
      <x:c r="F55" s="17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59" hidden="0" customWidth="1"/>
  </x:cols>
  <x:sheetData>
    <x:row r="1" ht="30" customHeight="1">
      <x:c r="A1" s="3" t="str">
        <x:v>COCA-COLA | BALANCE SHEET | USD MILLIONS</x:v>
      </x:c>
      <x:c r="B1" s="3"/>
      <x:c r="C1" s="3"/>
      <x:c r="D1" s="3"/>
      <x:c r="E1" s="3"/>
      <x:c r="F1" s="3"/>
      <x:c r="G1" s="3"/>
    </x:row>
    <x:row r="3" ht="26" customHeight="1">
      <x:c r="A3" s="7" t="str">
        <x:v>Metric</x:v>
      </x:c>
      <x:c r="B3" s="7" t="str">
        <x:v>FY2022</x:v>
      </x:c>
      <x:c r="C3" s="7" t="str">
        <x:v>FY2023</x:v>
      </x:c>
      <x:c r="D3" s="7" t="str">
        <x:v>FY2024</x:v>
      </x:c>
      <x:c r="E3" s="7" t="str">
        <x:v>FY2025</x:v>
      </x:c>
      <x:c r="F3" s="7" t="str">
        <x:v>Source 10-K</x:v>
      </x:c>
    </x:row>
    <x:row r="4">
      <x:c r="A4" s="10" t="str">
        <x:v>Cash and equivalents</x:v>
      </x:c>
      <x:c r="B4" s="16" t="n">
        <x:v>9519</x:v>
      </x:c>
      <x:c r="C4" s="16" t="n">
        <x:v>9366</x:v>
      </x:c>
      <x:c r="D4" s="16" t="n">
        <x:v>10828</x:v>
      </x:c>
      <x:c r="E4" s="16" t="n">
        <x:v>10270</x:v>
      </x:c>
      <x:c r="F4" s="16" t="str">
        <x:v>https://www.sec.gov/Archives/edgar/data/21344/000162828026010047/ko-20251231.htm | https://www.sec.gov/Archives/edgar/data/21344/000002134424000009/ko-20231231.htm</x:v>
      </x:c>
      <x:c r="G4" s="10"/>
    </x:row>
    <x:row r="5">
      <x:c r="A5" t="str">
        <x:v>Short-term investments</x:v>
      </x:c>
      <x:c r="B5" s="17" t="n">
        <x:v>1043</x:v>
      </x:c>
      <x:c r="C5" s="17" t="n">
        <x:v>2997</x:v>
      </x:c>
      <x:c r="D5" s="17" t="n">
        <x:v>2020</x:v>
      </x:c>
      <x:c r="E5" s="17" t="n">
        <x:v>3602</x:v>
      </x:c>
      <x:c r="F5" s="17" t="str">
        <x:v>https://www.sec.gov/Archives/edgar/data/21344/000162828026010047/ko-20251231.htm | https://www.sec.gov/Archives/edgar/data/21344/000002134424000009/ko-20231231.htm</x:v>
      </x:c>
    </x:row>
    <x:row r="6">
      <x:c r="A6" s="10" t="str">
        <x:v>Trade receivables</x:v>
      </x:c>
      <x:c r="B6" s="16" t="n">
        <x:v>3487</x:v>
      </x:c>
      <x:c r="C6" s="16" t="n">
        <x:v>3410</x:v>
      </x:c>
      <x:c r="D6" s="16" t="n">
        <x:v>3569</x:v>
      </x:c>
      <x:c r="E6" s="16" t="n">
        <x:v>3038</x:v>
      </x:c>
      <x:c r="F6" s="16" t="str">
        <x:v>https://www.sec.gov/Archives/edgar/data/21344/000162828026010047/ko-20251231.htm | https://www.sec.gov/Archives/edgar/data/21344/000002134424000009/ko-20231231.htm</x:v>
      </x:c>
      <x:c r="G6" s="10"/>
    </x:row>
    <x:row r="7">
      <x:c r="A7" t="str">
        <x:v>Inventories</x:v>
      </x:c>
      <x:c r="B7" s="17" t="n">
        <x:v>4233</x:v>
      </x:c>
      <x:c r="C7" s="17" t="n">
        <x:v>4424</x:v>
      </x:c>
      <x:c r="D7" s="17" t="n">
        <x:v>4728</x:v>
      </x:c>
      <x:c r="E7" s="17" t="n">
        <x:v>4425</x:v>
      </x:c>
      <x:c r="F7" s="17" t="str">
        <x:v>https://www.sec.gov/Archives/edgar/data/21344/000162828026010047/ko-20251231.htm | https://www.sec.gov/Archives/edgar/data/21344/000002134424000009/ko-20231231.htm</x:v>
      </x:c>
    </x:row>
    <x:row r="8">
      <x:c r="A8" s="10" t="str">
        <x:v>Total current assets</x:v>
      </x:c>
      <x:c r="B8" s="16" t="n">
        <x:v>22591</x:v>
      </x:c>
      <x:c r="C8" s="16" t="n">
        <x:v>26732</x:v>
      </x:c>
      <x:c r="D8" s="16" t="n">
        <x:v>25997</x:v>
      </x:c>
      <x:c r="E8" s="16" t="n">
        <x:v>31044</x:v>
      </x:c>
      <x:c r="F8" s="16" t="str">
        <x:v>https://www.sec.gov/Archives/edgar/data/21344/000162828026010047/ko-20251231.htm | https://www.sec.gov/Archives/edgar/data/21344/000002134424000009/ko-20231231.htm</x:v>
      </x:c>
      <x:c r="G8" s="10"/>
    </x:row>
    <x:row r="9">
      <x:c r="A9" t="str">
        <x:v>Total assets</x:v>
      </x:c>
      <x:c r="B9" s="17" t="n">
        <x:v>92763</x:v>
      </x:c>
      <x:c r="C9" s="17" t="n">
        <x:v>97703</x:v>
      </x:c>
      <x:c r="D9" s="17" t="n">
        <x:v>100549</x:v>
      </x:c>
      <x:c r="E9" s="17" t="n">
        <x:v>104816</x:v>
      </x:c>
      <x:c r="F9" s="17" t="str">
        <x:v>https://www.sec.gov/Archives/edgar/data/21344/000162828026010047/ko-20251231.htm | https://www.sec.gov/Archives/edgar/data/21344/000002134424000009/ko-20231231.htm</x:v>
      </x:c>
    </x:row>
    <x:row r="10">
      <x:c r="A10" s="10" t="str">
        <x:v>Total current liabilities</x:v>
      </x:c>
      <x:c r="B10" s="16" t="n">
        <x:v>19724</x:v>
      </x:c>
      <x:c r="C10" s="16" t="n">
        <x:v>23571</x:v>
      </x:c>
      <x:c r="D10" s="16" t="n">
        <x:v>25249</x:v>
      </x:c>
      <x:c r="E10" s="16" t="n">
        <x:v>21281</x:v>
      </x:c>
      <x:c r="F10" s="16" t="str">
        <x:v>https://www.sec.gov/Archives/edgar/data/21344/000162828026010047/ko-20251231.htm | https://www.sec.gov/Archives/edgar/data/21344/000002134424000009/ko-20231231.htm</x:v>
      </x:c>
      <x:c r="G10" s="10"/>
    </x:row>
    <x:row r="11">
      <x:c r="A11" t="str">
        <x:v>Long-term debt</x:v>
      </x:c>
      <x:c r="B11" s="17" t="n">
        <x:v>36377</x:v>
      </x:c>
      <x:c r="C11" s="17" t="n">
        <x:v>35547</x:v>
      </x:c>
      <x:c r="D11" s="17" t="n">
        <x:v>42375</x:v>
      </x:c>
      <x:c r="E11" s="17" t="n">
        <x:v>42119</x:v>
      </x:c>
      <x:c r="F11" s="17" t="str">
        <x:v>https://www.sec.gov/Archives/edgar/data/21344/000162828026010047/ko-20251231.htm | https://www.sec.gov/Archives/edgar/data/21344/000002134424000009/ko-20231231.htm</x:v>
      </x:c>
    </x:row>
    <x:row r="12">
      <x:c r="A12" s="10" t="str">
        <x:v>Total equity</x:v>
      </x:c>
      <x:c r="B12" s="16" t="n">
        <x:v>25826</x:v>
      </x:c>
      <x:c r="C12" s="16" t="n">
        <x:v>27480</x:v>
      </x:c>
      <x:c r="D12" s="16" t="n">
        <x:v>26372</x:v>
      </x:c>
      <x:c r="E12" s="16" t="n">
        <x:v>34275</x:v>
      </x:c>
      <x:c r="F12" s="16" t="str">
        <x:v>https://www.sec.gov/Archives/edgar/data/21344/000162828026010047/ko-20251231.htm | https://www.sec.gov/Archives/edgar/data/21344/000002134424000009/ko-20231231.htm</x:v>
      </x:c>
      <x:c r="G12" s="10"/>
    </x:row>
    <x:row r="13">
      <x:c r="A13" t="str">
        <x:v>Total liabilities and equity</x:v>
      </x:c>
      <x:c r="B13" s="17" t="n">
        <x:v>92763</x:v>
      </x:c>
      <x:c r="C13" s="17" t="n">
        <x:v>97703</x:v>
      </x:c>
      <x:c r="D13" s="17" t="n">
        <x:v>100549</x:v>
      </x:c>
      <x:c r="E13" s="17" t="n">
        <x:v>104816</x:v>
      </x:c>
      <x:c r="F13" s="17" t="str">
        <x:v>https://www.sec.gov/Archives/edgar/data/21344/000162828026010047/ko-20251231.htm | https://www.sec.gov/Archives/edgar/data/21344/000002134424000009/ko-20231231.htm</x:v>
      </x:c>
    </x:row>
    <x:row r="14">
      <x:c r="A14" s="10" t="str">
        <x:v>Accumulated OCI (loss)</x:v>
      </x:c>
      <x:c r="B14" s="16" t="n">
        <x:v>-14895</x:v>
      </x:c>
      <x:c r="C14" s="16" t="n">
        <x:v>-14275</x:v>
      </x:c>
      <x:c r="D14" s="16" t="n">
        <x:v>-16843</x:v>
      </x:c>
      <x:c r="E14" s="16" t="n">
        <x:v>-14131</x:v>
      </x:c>
      <x:c r="F14" s="16" t="str">
        <x:v>https://www.sec.gov/Archives/edgar/data/21344/000162828026010047/ko-20251231.htm | https://www.sec.gov/Archives/edgar/data/21344/000002134424000009/ko-20231231.htm</x:v>
      </x:c>
      <x:c r="G14" s="10"/>
    </x:row>
    <x:row r="15">
      <x:c r="B15" s="17"/>
      <x:c r="C15" s="17"/>
      <x:c r="D15" s="17"/>
      <x:c r="E15" s="17"/>
      <x:c r="F15" s="17"/>
    </x:row>
    <x:row r="16">
      <x:c r="B16" s="17"/>
      <x:c r="C16" s="17"/>
      <x:c r="D16" s="17"/>
      <x:c r="E16" s="17"/>
      <x:c r="F16" s="17"/>
    </x:row>
    <x:row r="17">
      <x:c r="B17" s="17"/>
      <x:c r="C17" s="17"/>
      <x:c r="D17" s="17"/>
      <x:c r="E17" s="17"/>
      <x:c r="F17" s="17"/>
    </x:row>
    <x:row r="18">
      <x:c r="B18" s="17"/>
      <x:c r="C18" s="17"/>
      <x:c r="D18" s="17"/>
      <x:c r="E18" s="17"/>
      <x:c r="F18" s="17"/>
    </x:row>
    <x:row r="19">
      <x:c r="B19" s="17"/>
      <x:c r="C19" s="17"/>
      <x:c r="D19" s="17"/>
      <x:c r="E19" s="17"/>
      <x:c r="F19" s="17"/>
    </x:row>
    <x:row r="20">
      <x:c r="B20" s="17"/>
      <x:c r="C20" s="17"/>
      <x:c r="D20" s="17"/>
      <x:c r="E20" s="17"/>
      <x:c r="F20" s="17"/>
    </x:row>
    <x:row r="21">
      <x:c r="B21" s="17"/>
      <x:c r="C21" s="17"/>
      <x:c r="D21" s="17"/>
      <x:c r="E21" s="17"/>
      <x:c r="F21" s="17"/>
    </x:row>
    <x:row r="22">
      <x:c r="B22" s="17"/>
      <x:c r="C22" s="17"/>
      <x:c r="D22" s="17"/>
      <x:c r="E22" s="17"/>
      <x:c r="F22" s="17"/>
    </x:row>
    <x:row r="23">
      <x:c r="B23" s="17"/>
      <x:c r="C23" s="17"/>
      <x:c r="D23" s="17"/>
      <x:c r="E23" s="17"/>
      <x:c r="F23" s="17"/>
    </x:row>
    <x:row r="24">
      <x:c r="B24" s="17"/>
      <x:c r="C24" s="17"/>
      <x:c r="D24" s="17"/>
      <x:c r="E24" s="17"/>
      <x:c r="F24" s="17"/>
    </x:row>
    <x:row r="25">
      <x:c r="B25" s="17"/>
      <x:c r="C25" s="17"/>
      <x:c r="D25" s="17"/>
      <x:c r="E25" s="17"/>
      <x:c r="F25" s="17"/>
    </x:row>
    <x:row r="26">
      <x:c r="B26" s="17"/>
      <x:c r="C26" s="17"/>
      <x:c r="D26" s="17"/>
      <x:c r="E26" s="17"/>
      <x:c r="F26" s="17"/>
    </x:row>
    <x:row r="27">
      <x:c r="B27" s="17"/>
      <x:c r="C27" s="17"/>
      <x:c r="D27" s="17"/>
      <x:c r="E27" s="17"/>
      <x:c r="F27" s="17"/>
    </x:row>
    <x:row r="28">
      <x:c r="B28" s="17"/>
      <x:c r="C28" s="17"/>
      <x:c r="D28" s="17"/>
      <x:c r="E28" s="17"/>
      <x:c r="F28" s="17"/>
    </x:row>
    <x:row r="29">
      <x:c r="B29" s="17"/>
      <x:c r="C29" s="17"/>
      <x:c r="D29" s="17"/>
      <x:c r="E29" s="17"/>
      <x:c r="F29" s="17"/>
    </x:row>
    <x:row r="30">
      <x:c r="B30" s="17"/>
      <x:c r="C30" s="17"/>
      <x:c r="D30" s="17"/>
      <x:c r="E30" s="17"/>
      <x:c r="F30" s="17"/>
    </x:row>
    <x:row r="31">
      <x:c r="B31" s="17"/>
      <x:c r="C31" s="17"/>
      <x:c r="D31" s="17"/>
      <x:c r="E31" s="17"/>
      <x:c r="F31" s="17"/>
    </x:row>
    <x:row r="32">
      <x:c r="B32" s="17"/>
      <x:c r="C32" s="17"/>
      <x:c r="D32" s="17"/>
      <x:c r="E32" s="17"/>
      <x:c r="F32" s="17"/>
    </x:row>
    <x:row r="33">
      <x:c r="B33" s="17"/>
      <x:c r="C33" s="17"/>
      <x:c r="D33" s="17"/>
      <x:c r="E33" s="17"/>
      <x:c r="F33" s="17"/>
    </x:row>
    <x:row r="34">
      <x:c r="B34" s="17"/>
      <x:c r="C34" s="17"/>
      <x:c r="D34" s="17"/>
      <x:c r="E34" s="17"/>
      <x:c r="F34" s="17"/>
    </x:row>
    <x:row r="35">
      <x:c r="B35" s="17"/>
      <x:c r="C35" s="17"/>
      <x:c r="D35" s="17"/>
      <x:c r="E35" s="17"/>
      <x:c r="F35" s="17"/>
    </x:row>
    <x:row r="36">
      <x:c r="B36" s="17"/>
      <x:c r="C36" s="17"/>
      <x:c r="D36" s="17"/>
      <x:c r="E36" s="17"/>
      <x:c r="F36" s="17"/>
    </x:row>
    <x:row r="37">
      <x:c r="B37" s="17"/>
      <x:c r="C37" s="17"/>
      <x:c r="D37" s="17"/>
      <x:c r="E37" s="17"/>
      <x:c r="F37" s="17"/>
    </x:row>
    <x:row r="38">
      <x:c r="B38" s="17"/>
      <x:c r="C38" s="17"/>
      <x:c r="D38" s="17"/>
      <x:c r="E38" s="17"/>
      <x:c r="F38" s="17"/>
    </x:row>
    <x:row r="39">
      <x:c r="B39" s="17"/>
      <x:c r="C39" s="17"/>
      <x:c r="D39" s="17"/>
      <x:c r="E39" s="17"/>
      <x:c r="F39" s="17"/>
    </x:row>
    <x:row r="40">
      <x:c r="B40" s="17"/>
      <x:c r="C40" s="17"/>
      <x:c r="D40" s="17"/>
      <x:c r="E40" s="17"/>
      <x:c r="F40" s="17"/>
    </x:row>
    <x:row r="41">
      <x:c r="B41" s="17"/>
      <x:c r="C41" s="17"/>
      <x:c r="D41" s="17"/>
      <x:c r="E41" s="17"/>
      <x:c r="F41" s="17"/>
    </x:row>
    <x:row r="42">
      <x:c r="B42" s="17"/>
      <x:c r="C42" s="17"/>
      <x:c r="D42" s="17"/>
      <x:c r="E42" s="17"/>
      <x:c r="F42" s="17"/>
    </x:row>
    <x:row r="43">
      <x:c r="B43" s="17"/>
      <x:c r="C43" s="17"/>
      <x:c r="D43" s="17"/>
      <x:c r="E43" s="17"/>
      <x:c r="F43" s="17"/>
    </x:row>
    <x:row r="44">
      <x:c r="B44" s="17"/>
      <x:c r="C44" s="17"/>
      <x:c r="D44" s="17"/>
      <x:c r="E44" s="17"/>
      <x:c r="F44" s="17"/>
    </x:row>
    <x:row r="45">
      <x:c r="B45" s="17"/>
      <x:c r="C45" s="17"/>
      <x:c r="D45" s="17"/>
      <x:c r="E45" s="17"/>
      <x:c r="F45" s="17"/>
    </x:row>
    <x:row r="46">
      <x:c r="B46" s="17"/>
      <x:c r="C46" s="17"/>
      <x:c r="D46" s="17"/>
      <x:c r="E46" s="17"/>
      <x:c r="F46" s="17"/>
    </x:row>
    <x:row r="47">
      <x:c r="B47" s="17"/>
      <x:c r="C47" s="17"/>
      <x:c r="D47" s="17"/>
      <x:c r="E47" s="17"/>
      <x:c r="F47" s="17"/>
    </x:row>
    <x:row r="48">
      <x:c r="B48" s="17"/>
      <x:c r="C48" s="17"/>
      <x:c r="D48" s="17"/>
      <x:c r="E48" s="17"/>
      <x:c r="F48" s="17"/>
    </x:row>
    <x:row r="49">
      <x:c r="B49" s="17"/>
      <x:c r="C49" s="17"/>
      <x:c r="D49" s="17"/>
      <x:c r="E49" s="17"/>
      <x:c r="F49" s="17"/>
    </x:row>
    <x:row r="50">
      <x:c r="B50" s="17"/>
      <x:c r="C50" s="17"/>
      <x:c r="D50" s="17"/>
      <x:c r="E50" s="17"/>
      <x:c r="F50" s="17"/>
    </x:row>
    <x:row r="51">
      <x:c r="B51" s="17"/>
      <x:c r="C51" s="17"/>
      <x:c r="D51" s="17"/>
      <x:c r="E51" s="17"/>
      <x:c r="F51" s="17"/>
    </x:row>
    <x:row r="52">
      <x:c r="B52" s="17"/>
      <x:c r="C52" s="17"/>
      <x:c r="D52" s="17"/>
      <x:c r="E52" s="17"/>
      <x:c r="F52" s="17"/>
    </x:row>
    <x:row r="53">
      <x:c r="B53" s="17"/>
      <x:c r="C53" s="17"/>
      <x:c r="D53" s="17"/>
      <x:c r="E53" s="17"/>
      <x:c r="F53" s="17"/>
    </x:row>
    <x:row r="54">
      <x:c r="B54" s="17"/>
      <x:c r="C54" s="17"/>
      <x:c r="D54" s="17"/>
      <x:c r="E54" s="17"/>
      <x:c r="F54" s="17"/>
    </x:row>
    <x:row r="55">
      <x:c r="B55" s="17"/>
      <x:c r="C55" s="17"/>
      <x:c r="D55" s="17"/>
      <x:c r="E55" s="17"/>
      <x:c r="F55" s="17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59" hidden="0" customWidth="1"/>
  </x:cols>
  <x:sheetData>
    <x:row r="1" ht="30" customHeight="1">
      <x:c r="A1" s="3" t="str">
        <x:v>COCA-COLA | OCI | USD MILLIONS</x:v>
      </x:c>
      <x:c r="B1" s="3"/>
      <x:c r="C1" s="3"/>
      <x:c r="D1" s="3"/>
      <x:c r="E1" s="3"/>
      <x:c r="F1" s="3"/>
      <x:c r="G1" s="3"/>
    </x:row>
    <x:row r="3" ht="26" customHeight="1">
      <x:c r="A3" s="7" t="str">
        <x:v>Metric</x:v>
      </x:c>
      <x:c r="B3" s="7" t="str">
        <x:v>FY2021</x:v>
      </x:c>
      <x:c r="C3" s="7" t="str">
        <x:v>FY2022</x:v>
      </x:c>
      <x:c r="D3" s="7" t="str">
        <x:v>FY2023</x:v>
      </x:c>
      <x:c r="E3" s="7" t="str">
        <x:v>FY2024</x:v>
      </x:c>
      <x:c r="F3" s="7" t="str">
        <x:v>FY2025</x:v>
      </x:c>
      <x:c r="G3" s="7" t="str">
        <x:v>Source 10-K</x:v>
      </x:c>
    </x:row>
    <x:row r="4">
      <x:c r="A4" s="10" t="str">
        <x:v>FX translation OCI</x:v>
      </x:c>
      <x:c r="B4" s="16" t="n">
        <x:v>-699</x:v>
      </x:c>
      <x:c r="C4" s="16" t="n">
        <x:v>-1132</x:v>
      </x:c>
      <x:c r="D4" s="16" t="n">
        <x:v>736</x:v>
      </x:c>
      <x:c r="E4" s="16" t="n">
        <x:v>-2893</x:v>
      </x:c>
      <x:c r="F4" s="16" t="n">
        <x:v>2868</x:v>
      </x:c>
      <x:c r="G4" s="10" t="str">
        <x:v>https://www.sec.gov/Archives/edgar/data/21344/000162828026010047/ko-20251231.htm | https://www.sec.gov/Archives/edgar/data/21344/000002134424000009/ko-20231231.htm</x:v>
      </x:c>
    </x:row>
    <x:row r="5">
      <x:c r="A5" t="str">
        <x:v>Derivatives OCI</x:v>
      </x:c>
      <x:c r="B5" s="17" t="n">
        <x:v>214</x:v>
      </x:c>
      <x:c r="C5" s="17" t="n">
        <x:v>4</x:v>
      </x:c>
      <x:c r="D5" s="17" t="n">
        <x:v>-178</x:v>
      </x:c>
      <x:c r="E5" s="17" t="n">
        <x:v>270</x:v>
      </x:c>
      <x:c r="F5" s="17" t="n">
        <x:v>-360</x:v>
      </x:c>
      <x:c r="G5" t="str">
        <x:v>https://www.sec.gov/Archives/edgar/data/21344/000162828026010047/ko-20251231.htm | https://www.sec.gov/Archives/edgar/data/21344/000002134424000009/ko-20231231.htm</x:v>
      </x:c>
    </x:row>
    <x:row r="6">
      <x:c r="A6" s="10" t="str">
        <x:v>AFS debt securities OCI</x:v>
      </x:c>
      <x:c r="B6" s="16" t="n">
        <x:v>-90</x:v>
      </x:c>
      <x:c r="C6" s="16" t="n">
        <x:v>37</x:v>
      </x:c>
      <x:c r="D6" s="16" t="n">
        <x:v>24</x:v>
      </x:c>
      <x:c r="E6" s="16" t="n">
        <x:v>-63</x:v>
      </x:c>
      <x:c r="F6" s="16" t="n">
        <x:v>38</x:v>
      </x:c>
      <x:c r="G6" s="10" t="str">
        <x:v>https://www.sec.gov/Archives/edgar/data/21344/000162828026010047/ko-20251231.htm | https://www.sec.gov/Archives/edgar/data/21344/000002134424000009/ko-20231231.htm</x:v>
      </x:c>
    </x:row>
    <x:row r="7">
      <x:c r="A7" t="str">
        <x:v>Pension OCI</x:v>
      </x:c>
      <x:c r="B7" s="17" t="n">
        <x:v>712</x:v>
      </x:c>
      <x:c r="C7" s="17" t="n">
        <x:v>408</x:v>
      </x:c>
      <x:c r="D7" s="17" t="n">
        <x:v>-109</x:v>
      </x:c>
      <x:c r="E7" s="17" t="n">
        <x:v>109</x:v>
      </x:c>
      <x:c r="F7" s="17" t="n">
        <x:v>94</x:v>
      </x:c>
      <x:c r="G7" t="str">
        <x:v>https://www.sec.gov/Archives/edgar/data/21344/000162828026010047/ko-20251231.htm | https://www.sec.gov/Archives/edgar/data/21344/000002134424000009/ko-20231231.htm</x:v>
      </x:c>
    </x:row>
    <x:row r="8">
      <x:c r="A8" s="10" t="str">
        <x:v>Total comprehensive income</x:v>
      </x:c>
      <x:c r="B8" s="16" t="n">
        <x:v>9941</x:v>
      </x:c>
      <x:c r="C8" s="16" t="n">
        <x:v>8888</x:v>
      </x:c>
      <x:c r="D8" s="16" t="n">
        <x:v>11176</x:v>
      </x:c>
      <x:c r="E8" s="16" t="n">
        <x:v>8072</x:v>
      </x:c>
      <x:c r="F8" s="16" t="n">
        <x:v>15777</x:v>
      </x:c>
      <x:c r="G8" s="10" t="str">
        <x:v>https://www.sec.gov/Archives/edgar/data/21344/000162828026010047/ko-20251231.htm | https://www.sec.gov/Archives/edgar/data/21344/000002134424000009/ko-20231231.htm</x:v>
      </x:c>
    </x:row>
    <x:row r="9">
      <x:c r="B9" s="17"/>
      <x:c r="C9" s="17"/>
      <x:c r="D9" s="17"/>
      <x:c r="E9" s="17"/>
      <x:c r="F9" s="17"/>
    </x:row>
    <x:row r="10">
      <x:c r="B10" s="17"/>
      <x:c r="C10" s="17"/>
      <x:c r="D10" s="17"/>
      <x:c r="E10" s="17"/>
      <x:c r="F10" s="17"/>
    </x:row>
    <x:row r="11">
      <x:c r="B11" s="17"/>
      <x:c r="C11" s="17"/>
      <x:c r="D11" s="17"/>
      <x:c r="E11" s="17"/>
      <x:c r="F11" s="17"/>
    </x:row>
    <x:row r="12">
      <x:c r="B12" s="17"/>
      <x:c r="C12" s="17"/>
      <x:c r="D12" s="17"/>
      <x:c r="E12" s="17"/>
      <x:c r="F12" s="17"/>
    </x:row>
    <x:row r="13">
      <x:c r="B13" s="17"/>
      <x:c r="C13" s="17"/>
      <x:c r="D13" s="17"/>
      <x:c r="E13" s="17"/>
      <x:c r="F13" s="17"/>
    </x:row>
    <x:row r="14">
      <x:c r="B14" s="17"/>
      <x:c r="C14" s="17"/>
      <x:c r="D14" s="17"/>
      <x:c r="E14" s="17"/>
      <x:c r="F14" s="17"/>
    </x:row>
    <x:row r="15">
      <x:c r="B15" s="17"/>
      <x:c r="C15" s="17"/>
      <x:c r="D15" s="17"/>
      <x:c r="E15" s="17"/>
      <x:c r="F15" s="17"/>
    </x:row>
    <x:row r="16">
      <x:c r="B16" s="17"/>
      <x:c r="C16" s="17"/>
      <x:c r="D16" s="17"/>
      <x:c r="E16" s="17"/>
      <x:c r="F16" s="17"/>
    </x:row>
    <x:row r="17">
      <x:c r="B17" s="17"/>
      <x:c r="C17" s="17"/>
      <x:c r="D17" s="17"/>
      <x:c r="E17" s="17"/>
      <x:c r="F17" s="17"/>
    </x:row>
    <x:row r="18">
      <x:c r="B18" s="17"/>
      <x:c r="C18" s="17"/>
      <x:c r="D18" s="17"/>
      <x:c r="E18" s="17"/>
      <x:c r="F18" s="17"/>
    </x:row>
    <x:row r="19">
      <x:c r="B19" s="17"/>
      <x:c r="C19" s="17"/>
      <x:c r="D19" s="17"/>
      <x:c r="E19" s="17"/>
      <x:c r="F19" s="17"/>
    </x:row>
    <x:row r="20">
      <x:c r="B20" s="17"/>
      <x:c r="C20" s="17"/>
      <x:c r="D20" s="17"/>
      <x:c r="E20" s="17"/>
      <x:c r="F20" s="17"/>
    </x:row>
    <x:row r="21">
      <x:c r="B21" s="17"/>
      <x:c r="C21" s="17"/>
      <x:c r="D21" s="17"/>
      <x:c r="E21" s="17"/>
      <x:c r="F21" s="17"/>
    </x:row>
    <x:row r="22">
      <x:c r="B22" s="17"/>
      <x:c r="C22" s="17"/>
      <x:c r="D22" s="17"/>
      <x:c r="E22" s="17"/>
      <x:c r="F22" s="17"/>
    </x:row>
    <x:row r="23">
      <x:c r="B23" s="17"/>
      <x:c r="C23" s="17"/>
      <x:c r="D23" s="17"/>
      <x:c r="E23" s="17"/>
      <x:c r="F23" s="17"/>
    </x:row>
    <x:row r="24">
      <x:c r="B24" s="17"/>
      <x:c r="C24" s="17"/>
      <x:c r="D24" s="17"/>
      <x:c r="E24" s="17"/>
      <x:c r="F24" s="17"/>
    </x:row>
    <x:row r="25">
      <x:c r="B25" s="17"/>
      <x:c r="C25" s="17"/>
      <x:c r="D25" s="17"/>
      <x:c r="E25" s="17"/>
      <x:c r="F25" s="17"/>
    </x:row>
    <x:row r="26">
      <x:c r="B26" s="17"/>
      <x:c r="C26" s="17"/>
      <x:c r="D26" s="17"/>
      <x:c r="E26" s="17"/>
      <x:c r="F26" s="17"/>
    </x:row>
    <x:row r="27">
      <x:c r="B27" s="17"/>
      <x:c r="C27" s="17"/>
      <x:c r="D27" s="17"/>
      <x:c r="E27" s="17"/>
      <x:c r="F27" s="17"/>
    </x:row>
    <x:row r="28">
      <x:c r="B28" s="17"/>
      <x:c r="C28" s="17"/>
      <x:c r="D28" s="17"/>
      <x:c r="E28" s="17"/>
      <x:c r="F28" s="17"/>
    </x:row>
    <x:row r="29">
      <x:c r="B29" s="17"/>
      <x:c r="C29" s="17"/>
      <x:c r="D29" s="17"/>
      <x:c r="E29" s="17"/>
      <x:c r="F29" s="17"/>
    </x:row>
    <x:row r="30">
      <x:c r="B30" s="17"/>
      <x:c r="C30" s="17"/>
      <x:c r="D30" s="17"/>
      <x:c r="E30" s="17"/>
      <x:c r="F30" s="17"/>
    </x:row>
    <x:row r="31">
      <x:c r="B31" s="17"/>
      <x:c r="C31" s="17"/>
      <x:c r="D31" s="17"/>
      <x:c r="E31" s="17"/>
      <x:c r="F31" s="17"/>
    </x:row>
    <x:row r="32">
      <x:c r="B32" s="17"/>
      <x:c r="C32" s="17"/>
      <x:c r="D32" s="17"/>
      <x:c r="E32" s="17"/>
      <x:c r="F32" s="17"/>
    </x:row>
    <x:row r="33">
      <x:c r="B33" s="17"/>
      <x:c r="C33" s="17"/>
      <x:c r="D33" s="17"/>
      <x:c r="E33" s="17"/>
      <x:c r="F33" s="17"/>
    </x:row>
    <x:row r="34">
      <x:c r="B34" s="17"/>
      <x:c r="C34" s="17"/>
      <x:c r="D34" s="17"/>
      <x:c r="E34" s="17"/>
      <x:c r="F34" s="17"/>
    </x:row>
    <x:row r="35">
      <x:c r="B35" s="17"/>
      <x:c r="C35" s="17"/>
      <x:c r="D35" s="17"/>
      <x:c r="E35" s="17"/>
      <x:c r="F35" s="17"/>
    </x:row>
    <x:row r="36">
      <x:c r="B36" s="17"/>
      <x:c r="C36" s="17"/>
      <x:c r="D36" s="17"/>
      <x:c r="E36" s="17"/>
      <x:c r="F36" s="17"/>
    </x:row>
    <x:row r="37">
      <x:c r="B37" s="17"/>
      <x:c r="C37" s="17"/>
      <x:c r="D37" s="17"/>
      <x:c r="E37" s="17"/>
      <x:c r="F37" s="17"/>
    </x:row>
    <x:row r="38">
      <x:c r="B38" s="17"/>
      <x:c r="C38" s="17"/>
      <x:c r="D38" s="17"/>
      <x:c r="E38" s="17"/>
      <x:c r="F38" s="17"/>
    </x:row>
    <x:row r="39">
      <x:c r="B39" s="17"/>
      <x:c r="C39" s="17"/>
      <x:c r="D39" s="17"/>
      <x:c r="E39" s="17"/>
      <x:c r="F39" s="17"/>
    </x:row>
    <x:row r="40">
      <x:c r="B40" s="17"/>
      <x:c r="C40" s="17"/>
      <x:c r="D40" s="17"/>
      <x:c r="E40" s="17"/>
      <x:c r="F40" s="17"/>
    </x:row>
    <x:row r="41">
      <x:c r="B41" s="17"/>
      <x:c r="C41" s="17"/>
      <x:c r="D41" s="17"/>
      <x:c r="E41" s="17"/>
      <x:c r="F41" s="17"/>
    </x:row>
    <x:row r="42">
      <x:c r="B42" s="17"/>
      <x:c r="C42" s="17"/>
      <x:c r="D42" s="17"/>
      <x:c r="E42" s="17"/>
      <x:c r="F42" s="17"/>
    </x:row>
    <x:row r="43">
      <x:c r="B43" s="17"/>
      <x:c r="C43" s="17"/>
      <x:c r="D43" s="17"/>
      <x:c r="E43" s="17"/>
      <x:c r="F43" s="17"/>
    </x:row>
    <x:row r="44">
      <x:c r="B44" s="17"/>
      <x:c r="C44" s="17"/>
      <x:c r="D44" s="17"/>
      <x:c r="E44" s="17"/>
      <x:c r="F44" s="17"/>
    </x:row>
    <x:row r="45">
      <x:c r="B45" s="17"/>
      <x:c r="C45" s="17"/>
      <x:c r="D45" s="17"/>
      <x:c r="E45" s="17"/>
      <x:c r="F45" s="17"/>
    </x:row>
    <x:row r="46">
      <x:c r="B46" s="17"/>
      <x:c r="C46" s="17"/>
      <x:c r="D46" s="17"/>
      <x:c r="E46" s="17"/>
      <x:c r="F46" s="17"/>
    </x:row>
    <x:row r="47">
      <x:c r="B47" s="17"/>
      <x:c r="C47" s="17"/>
      <x:c r="D47" s="17"/>
      <x:c r="E47" s="17"/>
      <x:c r="F47" s="17"/>
    </x:row>
    <x:row r="48">
      <x:c r="B48" s="17"/>
      <x:c r="C48" s="17"/>
      <x:c r="D48" s="17"/>
      <x:c r="E48" s="17"/>
      <x:c r="F48" s="17"/>
    </x:row>
    <x:row r="49">
      <x:c r="B49" s="17"/>
      <x:c r="C49" s="17"/>
      <x:c r="D49" s="17"/>
      <x:c r="E49" s="17"/>
      <x:c r="F49" s="17"/>
    </x:row>
    <x:row r="50">
      <x:c r="B50" s="17"/>
      <x:c r="C50" s="17"/>
      <x:c r="D50" s="17"/>
      <x:c r="E50" s="17"/>
      <x:c r="F50" s="17"/>
    </x:row>
    <x:row r="51">
      <x:c r="B51" s="17"/>
      <x:c r="C51" s="17"/>
      <x:c r="D51" s="17"/>
      <x:c r="E51" s="17"/>
      <x:c r="F51" s="17"/>
    </x:row>
    <x:row r="52">
      <x:c r="B52" s="17"/>
      <x:c r="C52" s="17"/>
      <x:c r="D52" s="17"/>
      <x:c r="E52" s="17"/>
      <x:c r="F52" s="17"/>
    </x:row>
    <x:row r="53">
      <x:c r="B53" s="17"/>
      <x:c r="C53" s="17"/>
      <x:c r="D53" s="17"/>
      <x:c r="E53" s="17"/>
      <x:c r="F53" s="17"/>
    </x:row>
    <x:row r="54">
      <x:c r="B54" s="17"/>
      <x:c r="C54" s="17"/>
      <x:c r="D54" s="17"/>
      <x:c r="E54" s="17"/>
      <x:c r="F54" s="17"/>
    </x:row>
    <x:row r="55">
      <x:c r="B55" s="17"/>
      <x:c r="C55" s="17"/>
      <x:c r="D55" s="17"/>
      <x:c r="E55" s="17"/>
      <x:c r="F55" s="17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FINANCIAL REPORTING DASHBOARD | CALCULATED RESULTS</x:v>
      </x:c>
      <x:c r="B1" s="3"/>
      <x:c r="C1" s="3"/>
      <x:c r="D1" s="3"/>
      <x:c r="E1" s="3"/>
      <x:c r="F1" s="3"/>
    </x:row>
    <x:row r="3">
      <x:c r="A3" s="7" t="str">
        <x:v>Ratio / metric</x:v>
      </x:c>
      <x:c r="B3" s="7" t="str">
        <x:v>FY2021</x:v>
      </x:c>
      <x:c r="C3" s="7" t="str">
        <x:v>FY2022</x:v>
      </x:c>
      <x:c r="D3" s="7" t="str">
        <x:v>FY2023</x:v>
      </x:c>
      <x:c r="E3" s="7" t="str">
        <x:v>FY2024</x:v>
      </x:c>
      <x:c r="F3" s="7" t="str">
        <x:v>FY2025</x:v>
      </x:c>
    </x:row>
    <x:row r="4">
      <x:c r="A4" t="str">
        <x:v>Gross margin</x:v>
      </x:c>
      <x:c r="B4" s="24" t="n">
        <x:f>'Income Statement'!B6/'Income Statement'!B4</x:f>
        <x:v>0.6027163368257664</x:v>
      </x:c>
      <x:c r="C4" s="24" t="n">
        <x:f>'Income Statement'!C6/'Income Statement'!C4</x:f>
        <x:v>0.5814342851827737</x:v>
      </x:c>
      <x:c r="D4" s="24" t="n">
        <x:f>'Income Statement'!D6/'Income Statement'!D4</x:f>
        <x:v>0.5952266468505486</x:v>
      </x:c>
      <x:c r="E4" s="24" t="n">
        <x:f>'Income Statement'!E6/'Income Statement'!E4</x:f>
        <x:v>0.6106330082233696</x:v>
      </x:c>
      <x:c r="F4" s="24" t="n">
        <x:f>'Income Statement'!F6/'Income Statement'!F4</x:f>
        <x:v>0.6162574831563797</x:v>
      </x:c>
    </x:row>
    <x:row r="5">
      <x:c r="A5" t="str">
        <x:v>Operating margin</x:v>
      </x:c>
      <x:c r="B5" s="24" t="n">
        <x:f>'Income Statement'!B9/'Income Statement'!B4</x:f>
        <x:v>0.26666666666666666</x:v>
      </x:c>
      <x:c r="C5" s="24" t="n">
        <x:f>'Income Statement'!C9/'Income Statement'!C4</x:f>
        <x:v>0.2536740768300623</x:v>
      </x:c>
      <x:c r="D5" s="24" t="n">
        <x:f>'Income Statement'!D9/'Income Statement'!D4</x:f>
        <x:v>0.24721335839489444</x:v>
      </x:c>
      <x:c r="E5" s="24" t="n">
        <x:f>'Income Statement'!E9/'Income Statement'!E4</x:f>
        <x:v>0.21232018019166612</x:v>
      </x:c>
      <x:c r="F5" s="24" t="n">
        <x:f>'Income Statement'!F9/'Income Statement'!F4</x:f>
        <x:v>0.28706117936630443</x:v>
      </x:c>
    </x:row>
    <x:row r="6">
      <x:c r="A6" t="str">
        <x:v>Shareowners net margin</x:v>
      </x:c>
      <x:c r="B6" s="24" t="n">
        <x:f>'Income Statement'!B18/'Income Statement'!B4</x:f>
        <x:v>0.2527745440434614</x:v>
      </x:c>
      <x:c r="C6" s="24" t="n">
        <x:f>'Income Statement'!C18/'Income Statement'!C4</x:f>
        <x:v>0.2218863361547763</x:v>
      </x:c>
      <x:c r="D6" s="24" t="n">
        <x:f>'Income Statement'!D18/'Income Statement'!D4</x:f>
        <x:v>0.23416531887922368</x:v>
      </x:c>
      <x:c r="E6" s="24" t="n">
        <x:f>'Income Statement'!E18/'Income Statement'!E4</x:f>
        <x:v>0.22589830220352308</x:v>
      </x:c>
      <x:c r="F6" s="24" t="n">
        <x:f>'Income Statement'!F18/'Income Statement'!F4</x:f>
        <x:v>0.2733985523873094</x:v>
      </x:c>
    </x:row>
    <x:row r="7">
      <x:c r="A7" t="str">
        <x:v>Effective tax rate</x:v>
      </x:c>
      <x:c r="B7" s="24" t="n">
        <x:f>'Income Statement'!B15/'Income Statement'!B14</x:f>
        <x:v>0.2109456740442656</x:v>
      </x:c>
      <x:c r="C7" s="24" t="n">
        <x:f>'Income Statement'!C15/'Income Statement'!C14</x:f>
        <x:v>0.1809857949683382</x:v>
      </x:c>
      <x:c r="D7" s="24" t="n">
        <x:f>'Income Statement'!D15/'Income Statement'!D14</x:f>
        <x:v>0.17364113650401483</x:v>
      </x:c>
      <x:c r="E7" s="24" t="n">
        <x:f>'Income Statement'!E15/'Income Statement'!E14</x:f>
        <x:v>0.1862295583065872</x:v>
      </x:c>
      <x:c r="F7" s="24" t="n">
        <x:f>'Income Statement'!F15/'Income Statement'!F14</x:f>
        <x:v>0.1788348543567946</x:v>
      </x:c>
    </x:row>
    <x:row r="8">
      <x:c r="A8" t="str">
        <x:v>Operating cash flow / consolidated NI</x:v>
      </x:c>
      <x:c r="B8" s="24" t="n">
        <x:f>'Cash Flow'!B14/'Income Statement'!B16</x:f>
        <x:v>1.2877396980824154</x:v>
      </x:c>
      <x:c r="C8" s="24" t="n">
        <x:f>'Cash Flow'!C14/'Income Statement'!C16</x:f>
        <x:v>1.151185873994358</x:v>
      </x:c>
      <x:c r="D8" s="24" t="n">
        <x:f>'Cash Flow'!D14/'Income Statement'!D16</x:f>
        <x:v>1.0837148463047743</x:v>
      </x:c>
      <x:c r="E8" s="24" t="n">
        <x:f>'Cash Flow'!E14/'Income Statement'!E16</x:f>
        <x:v>0.6390271386984694</x:v>
      </x:c>
      <x:c r="F8" s="24" t="n">
        <x:f>'Cash Flow'!F14/'Income Statement'!F16</x:f>
        <x:v>0.5639034787242141</x:v>
      </x:c>
    </x:row>
    <x:row r="9">
      <x:c r="A9" t="str">
        <x:v>Accrual difference (NI - CFO; $m)</x:v>
      </x:c>
      <x:c r="B9" s="25" t="n">
        <x:f>'Income Statement'!B16-'Cash Flow'!B14</x:f>
        <x:v>-2821</x:v>
      </x:c>
      <x:c r="C9" s="25" t="n">
        <x:f>'Income Statement'!C16-'Cash Flow'!C14</x:f>
        <x:v>-1447</x:v>
      </x:c>
      <x:c r="D9" s="25" t="n">
        <x:f>'Income Statement'!D16-'Cash Flow'!D14</x:f>
        <x:v>-896</x:v>
      </x:c>
      <x:c r="E9" s="25" t="n">
        <x:f>'Income Statement'!E16-'Cash Flow'!E14</x:f>
        <x:v>3844</x:v>
      </x:c>
      <x:c r="F9" s="25" t="n">
        <x:f>'Income Statement'!F16-'Cash Flow'!F14</x:f>
        <x:v>5729</x:v>
      </x:c>
    </x:row>
    <x:row r="10">
      <x:c r="A10" t="str">
        <x:v>Simple FCF (CFO - Capex; $m)</x:v>
      </x:c>
      <x:c r="B10" s="25" t="n">
        <x:f>'Cash Flow'!B14+'Cash Flow'!B15</x:f>
        <x:v>11258</x:v>
      </x:c>
      <x:c r="C10" s="25" t="n">
        <x:f>'Cash Flow'!C14+'Cash Flow'!C15</x:f>
        <x:v>9534</x:v>
      </x:c>
      <x:c r="D10" s="25" t="n">
        <x:f>'Cash Flow'!D14+'Cash Flow'!D15</x:f>
        <x:v>9747</x:v>
      </x:c>
      <x:c r="E10" s="25" t="n">
        <x:f>'Cash Flow'!E14+'Cash Flow'!E15</x:f>
        <x:v>4741</x:v>
      </x:c>
      <x:c r="F10" s="25" t="n">
        <x:f>'Cash Flow'!F14+'Cash Flow'!F15</x:f>
        <x:v>5296</x:v>
      </x:c>
    </x:row>
    <x:row r="11">
      <x:c r="A11" t="str">
        <x:v>FCF margin</x:v>
      </x:c>
      <x:c r="B11" s="24" t="n">
        <x:f>B10/'Income Statement'!B4</x:f>
        <x:v>0.29124304747121976</x:v>
      </x:c>
      <x:c r="C11" s="24" t="n">
        <x:f>C10/'Income Statement'!C4</x:f>
        <x:v>0.22170030694819087</x:v>
      </x:c>
      <x:c r="D11" s="24" t="n">
        <x:f>D10/'Income Statement'!D4</x:f>
        <x:v>0.2130305547055995</x:v>
      </x:c>
      <x:c r="E11" s="24" t="n">
        <x:f>E10/'Income Statement'!E4</x:f>
        <x:v>0.10074159070143006</x:v>
      </x:c>
      <x:c r="F11" s="24" t="n">
        <x:f>F10/'Income Statement'!F4</x:f>
        <x:v>0.11046911829123297</x:v>
      </x:c>
    </x:row>
    <x:row r="12">
      <x:c r="A12" t="str">
        <x:v>SG&amp;A as a % of sales</x:v>
      </x:c>
      <x:c r="B12" s="24" t="n">
        <x:f>'Income Statement'!B7/'Income Statement'!B4</x:f>
        <x:v>0.3141637563057819</x:v>
      </x:c>
      <x:c r="C12" s="24" t="n">
        <x:f>'Income Statement'!C7/'Income Statement'!C4</x:f>
        <x:v>0.2995070226025486</x:v>
      </x:c>
      <x:c r="D12" s="24" t="n">
        <x:f>'Income Statement'!D7/'Income Statement'!D4</x:f>
        <x:v>0.30537220789439173</x:v>
      </x:c>
      <x:c r="E12" s="24" t="n">
        <x:f>'Income Statement'!E7/'Income Statement'!E4</x:f>
        <x:v>0.30985316929092027</x:v>
      </x:c>
      <x:c r="F12" s="24" t="n">
        <x:f>'Income Statement'!F7/'Income Statement'!F4</x:f>
        <x:v>0.302893139483949</x:v>
      </x:c>
    </x:row>
    <x:row r="13">
      <x:c r="A13" t="str">
        <x:v>Other operating charges / sales</x:v>
      </x:c>
      <x:c r="B13" s="24" t="n">
        <x:f>'Income Statement'!B8/'Income Statement'!B4</x:f>
        <x:v>0.021885913853317812</x:v>
      </x:c>
      <x:c r="C13" s="24" t="n">
        <x:f>'Income Statement'!C8/'Income Statement'!C4</x:f>
        <x:v>0.028253185750162776</x:v>
      </x:c>
      <x:c r="D13" s="24" t="n">
        <x:f>'Income Statement'!D8/'Income Statement'!D4</x:f>
        <x:v>0.0426410805612624</x:v>
      </x:c>
      <x:c r="E13" s="24" t="n">
        <x:f>'Income Statement'!E8/'Income Statement'!E4</x:f>
        <x:v>0.08845965874078324</x:v>
      </x:c>
      <x:c r="F13" s="24" t="n">
        <x:f>'Income Statement'!F8/'Income Statement'!F4</x:f>
        <x:v>0.02630316430612628</x:v>
      </x:c>
    </x:row>
    <x:row r="14">
      <x:c r="A14" t="str">
        <x:v>Revenue growth YoY</x:v>
      </x:c>
      <x:c r="B14" s="24"/>
      <x:c r="C14" s="24" t="n">
        <x:f>'Income Statement'!C4/'Income Statement'!B4-1</x:f>
        <x:v>0.11250808433579107</x:v>
      </x:c>
      <x:c r="D14" s="24" t="n">
        <x:f>'Income Statement'!D4/'Income Statement'!C4-1</x:f>
        <x:v>0.06394753976374301</x:v>
      </x:c>
      <x:c r="E14" s="24" t="n">
        <x:f>'Income Statement'!E4/'Income Statement'!D4-1</x:f>
        <x:v>0.028565808453905772</x:v>
      </x:c>
      <x:c r="F14" s="24" t="n">
        <x:f>'Income Statement'!F4/'Income Statement'!E4-1</x:f>
        <x:v>0.018699135164998548</x:v>
      </x:c>
    </x:row>
    <x:row r="15">
      <x:c r="A15" t="str">
        <x:v>Current ratio (year-end)</x:v>
      </x:c>
      <x:c r="B15" s="26"/>
      <x:c r="C15" s="26" t="n">
        <x:f>'Balance Sheet'!B8/'Balance Sheet'!B10</x:f>
        <x:v>1.1453559115798013</x:v>
      </x:c>
      <x:c r="D15" s="26" t="n">
        <x:f>'Balance Sheet'!C8/'Balance Sheet'!C10</x:f>
        <x:v>1.1341054685842773</x:v>
      </x:c>
      <x:c r="E15" s="26" t="n">
        <x:f>'Balance Sheet'!D8/'Balance Sheet'!D10</x:f>
        <x:v>1.0296249356410154</x:v>
      </x:c>
      <x:c r="F15" s="26" t="n">
        <x:f>'Balance Sheet'!E8/'Balance Sheet'!E10</x:f>
        <x:v>1.4587660354306657</x:v>
      </x:c>
    </x:row>
    <x:row r="16">
      <x:c r="A16" t="str">
        <x:v>Net working capital (year-end; $m)</x:v>
      </x:c>
      <x:c r="B16" s="25"/>
      <x:c r="C16" s="25" t="n">
        <x:f>'Balance Sheet'!B8-'Balance Sheet'!B10</x:f>
        <x:v>2867</x:v>
      </x:c>
      <x:c r="D16" s="25" t="n">
        <x:f>'Balance Sheet'!C8-'Balance Sheet'!C10</x:f>
        <x:v>3161</x:v>
      </x:c>
      <x:c r="E16" s="25" t="n">
        <x:f>'Balance Sheet'!D8-'Balance Sheet'!D10</x:f>
        <x:v>748</x:v>
      </x:c>
      <x:c r="F16" s="25" t="n">
        <x:f>'Balance Sheet'!E8-'Balance Sheet'!E10</x:f>
        <x:v>9763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ACCOUNTING RECONCILIATION | EXPECT ZERO</x:v>
      </x:c>
      <x:c r="B1" s="3"/>
      <x:c r="C1" s="3"/>
      <x:c r="D1" s="3"/>
      <x:c r="E1" s="3"/>
      <x:c r="F1" s="3"/>
    </x:row>
    <x:row r="3">
      <x:c r="A3" s="7" t="str">
        <x:v>Check</x:v>
      </x:c>
      <x:c r="B3" s="7" t="str">
        <x:v>2021</x:v>
      </x:c>
      <x:c r="C3" s="7" t="str">
        <x:v>2022</x:v>
      </x:c>
      <x:c r="D3" s="7" t="str">
        <x:v>2023</x:v>
      </x:c>
      <x:c r="E3" s="7" t="str">
        <x:v>2024</x:v>
      </x:c>
      <x:c r="F3" s="7" t="str">
        <x:v>2025</x:v>
      </x:c>
    </x:row>
    <x:row r="4">
      <x:c r="A4" t="str">
        <x:v>Gross profit identity</x:v>
      </x:c>
      <x:c r="B4" t="n">
        <x:f>'Income Statement'!B4-'Income Statement'!B5-'Income Statement'!B6</x:f>
        <x:v>0</x:v>
      </x:c>
      <x:c r="C4" t="n">
        <x:f>'Income Statement'!C4-'Income Statement'!C5-'Income Statement'!C6</x:f>
        <x:v>0</x:v>
      </x:c>
      <x:c r="D4" t="n">
        <x:f>'Income Statement'!D4-'Income Statement'!D5-'Income Statement'!D6</x:f>
        <x:v>0</x:v>
      </x:c>
      <x:c r="E4" t="n">
        <x:f>'Income Statement'!E4-'Income Statement'!E5-'Income Statement'!E6</x:f>
        <x:v>0</x:v>
      </x:c>
      <x:c r="F4" t="n">
        <x:f>'Income Statement'!F4-'Income Statement'!F5-'Income Statement'!F6</x:f>
        <x:v>0</x:v>
      </x:c>
    </x:row>
    <x:row r="5">
      <x:c r="A5" t="str">
        <x:v>Operating income identity</x:v>
      </x:c>
      <x:c r="B5" t="n">
        <x:f>'Income Statement'!B6-'Income Statement'!B7-'Income Statement'!B8-'Income Statement'!B9</x:f>
        <x:v>0</x:v>
      </x:c>
      <x:c r="C5" t="n">
        <x:f>'Income Statement'!C6-'Income Statement'!C7-'Income Statement'!C8-'Income Statement'!C9</x:f>
        <x:v>0</x:v>
      </x:c>
      <x:c r="D5" t="n">
        <x:f>'Income Statement'!D6-'Income Statement'!D7-'Income Statement'!D8-'Income Statement'!D9</x:f>
        <x:v>0</x:v>
      </x:c>
      <x:c r="E5" t="n">
        <x:f>'Income Statement'!E6-'Income Statement'!E7-'Income Statement'!E8-'Income Statement'!E9</x:f>
        <x:v>0</x:v>
      </x:c>
      <x:c r="F5" t="n">
        <x:f>'Income Statement'!F6-'Income Statement'!F7-'Income Statement'!F8-'Income Statement'!F9</x:f>
        <x:v>0</x:v>
      </x:c>
    </x:row>
    <x:row r="6">
      <x:c r="A6" t="str">
        <x:v>Pretax to consolidated NI</x:v>
      </x:c>
      <x:c r="B6" t="n">
        <x:f>'Income Statement'!B14-'Income Statement'!B15-'Income Statement'!B16</x:f>
        <x:v>0</x:v>
      </x:c>
      <x:c r="C6" t="n">
        <x:f>'Income Statement'!C14-'Income Statement'!C15-'Income Statement'!C16</x:f>
        <x:v>0</x:v>
      </x:c>
      <x:c r="D6" t="n">
        <x:f>'Income Statement'!D14-'Income Statement'!D15-'Income Statement'!D16</x:f>
        <x:v>0</x:v>
      </x:c>
      <x:c r="E6" t="n">
        <x:f>'Income Statement'!E14-'Income Statement'!E15-'Income Statement'!E16</x:f>
        <x:v>0</x:v>
      </x:c>
      <x:c r="F6" t="n">
        <x:f>'Income Statement'!F14-'Income Statement'!F15-'Income Statement'!F16</x:f>
        <x:v>0</x:v>
      </x:c>
    </x:row>
    <x:row r="7">
      <x:c r="A7" t="str">
        <x:v>Consolidated versus attributable NI</x:v>
      </x:c>
      <x:c r="B7" t="n">
        <x:f>'Income Statement'!B16-'Income Statement'!B17-'Income Statement'!B18</x:f>
        <x:v>0</x:v>
      </x:c>
      <x:c r="C7" t="n">
        <x:f>'Income Statement'!C16-'Income Statement'!C17-'Income Statement'!C18</x:f>
        <x:v>0</x:v>
      </x:c>
      <x:c r="D7" t="n">
        <x:f>'Income Statement'!D16-'Income Statement'!D17-'Income Statement'!D18</x:f>
        <x:v>0</x:v>
      </x:c>
      <x:c r="E7" t="n">
        <x:f>'Income Statement'!E16-'Income Statement'!E17-'Income Statement'!E18</x:f>
        <x:v>0</x:v>
      </x:c>
      <x:c r="F7" t="n">
        <x:f>'Income Statement'!F16-'Income Statement'!F17-'Income Statement'!F18</x:f>
        <x:v>0</x:v>
      </x:c>
    </x:row>
    <x:row r="8">
      <x:c r="A8" t="str">
        <x:v>Indirect CFO cash bridge</x:v>
      </x:c>
      <x:c r="B8" t="n">
        <x:f>SUM('Cash Flow'!B4:B13)-'Cash Flow'!B14</x:f>
        <x:v>0</x:v>
      </x:c>
      <x:c r="C8" t="n">
        <x:f>SUM('Cash Flow'!C4:C13)-'Cash Flow'!C14</x:f>
        <x:v>0</x:v>
      </x:c>
      <x:c r="D8" t="n">
        <x:f>SUM('Cash Flow'!D4:D13)-'Cash Flow'!D14</x:f>
        <x:v>0</x:v>
      </x:c>
      <x:c r="E8" t="n">
        <x:f>SUM('Cash Flow'!E4:E13)-'Cash Flow'!E14</x:f>
        <x:v>0</x:v>
      </x:c>
      <x:c r="F8" t="n">
        <x:f>SUM('Cash Flow'!F4:F13)-'Cash Flow'!F14</x:f>
        <x:v>0</x:v>
      </x:c>
    </x:row>
    <x:row r="9">
      <x:c r="A9" t="str">
        <x:v>Balance sheet assets less liabilities/equity</x:v>
      </x:c>
      <x:c r="C9" t="n">
        <x:f>'Balance Sheet'!B9-'Balance Sheet'!B13</x:f>
        <x:v>0</x:v>
      </x:c>
      <x:c r="D9" t="n">
        <x:f>'Balance Sheet'!C9-'Balance Sheet'!C13</x:f>
        <x:v>0</x:v>
      </x:c>
      <x:c r="E9" t="n">
        <x:f>'Balance Sheet'!D9-'Balance Sheet'!D13</x:f>
        <x:v>0</x:v>
      </x:c>
      <x:c r="F9" t="n">
        <x:f>'Balance Sheet'!E9-'Balance Sheet'!E13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>
      <x:c r="A1" s="3" t="str">
        <x:v>ACCOUNTING INTERPRETATION &amp; SOURCES</x:v>
      </x:c>
      <x:c r="B1" s="3"/>
      <x:c r="C1" s="3"/>
      <x:c r="D1" s="3"/>
    </x:row>
    <x:row r="3">
      <x:c r="A3" t="str">
        <x:v>FY2025 Form 10-K</x:v>
      </x:c>
      <x:c r="B3" s="30" t="str">
        <x:v>https://www.sec.gov/Archives/edgar/data/21344/000162828026010047/ko-20251231.htm</x:v>
      </x:c>
    </x:row>
    <x:row r="4">
      <x:c r="A4" t="str">
        <x:v>FY2023 Form 10-K</x:v>
      </x:c>
      <x:c r="B4" s="30" t="str">
        <x:v>https://www.sec.gov/Archives/edgar/data/21344/000002134424000009/ko-20231231.htm</x:v>
      </x:c>
    </x:row>
    <x:row r="5">
      <x:c r="A5" t="str">
        <x:v>Scope</x:v>
      </x:c>
      <x:c r="B5" s="30" t="str">
        <x:v>Coca-Cola Company (NYSE: KO), not Coca-Cola Consolidated (COKE).</x:v>
      </x:c>
    </x:row>
    <x:row r="6">
      <x:c r="A6" t="str">
        <x:v>Fiscal years</x:v>
      </x:c>
      <x:c r="B6" s="30" t="str">
        <x:v>Income, Cash Flow and OCI: 2021-25; Balance Sheet: 2022-25.</x:v>
      </x:c>
    </x:row>
    <x:row r="7">
      <x:c r="A7" t="str">
        <x:v>Accrual gap</x:v>
      </x:c>
      <x:c r="B7" s="30" t="str">
        <x:v>Consolidated net income minus CFO; not fraud evidence.</x:v>
      </x:c>
    </x:row>
    <x:row r="8">
      <x:c r="A8" t="str">
        <x:v>2024 unusual item</x:v>
      </x:c>
      <x:c r="B8" s="30" t="str">
        <x:v>Significant IRS tax-litigation deposit reduced operating cash flow.</x:v>
      </x:c>
    </x:row>
    <x:row r="9">
      <x:c r="A9" t="str">
        <x:v>2025 unusual item</x:v>
      </x:c>
      <x:c r="B9" s="30" t="str">
        <x:v>fairlife contingent consideration impacts operating assets/liabilities and cash conversion.</x:v>
      </x:c>
    </x:row>
    <x:row r="10">
      <x:c r="A10" t="str">
        <x:v>CFO</x:v>
      </x:c>
      <x:c r="B10" s="30" t="str">
        <x:v>Use consolidated net income, not NI attributable to shareowners, in indirect reconciliation.</x:v>
      </x:c>
    </x:row>
    <x:row r="11">
      <x:c r="A11" t="str">
        <x:v>FY2025 CFO</x:v>
      </x:c>
      <x:c r="B11" s="30" t="str">
        <x:v>7408 USD millions</x:v>
      </x:c>
    </x:row>
    <x:row r="12">
      <x:c r="A12" t="str">
        <x:v>FY2025 consolidated NI</x:v>
      </x:c>
      <x:c r="B12" s="30" t="str">
        <x:v>13137 USD millions</x:v>
      </x:c>
    </x:row>
    <x:row r="13">
      <x:c r="A13" t="str">
        <x:v>Caution</x:v>
      </x:c>
      <x:c r="B13" s="30" t="str">
        <x:v>Not a CPA audit, not employer endorsed, public historical SEC data only.</x:v>
      </x:c>
    </x:row>
  </x:sheetData>
  <x:mergeCells>
    <x:mergeCell ref="A1:D1"/>
  </x:mergeCells>
  <x:pageMargins left="0.7" right="0.7" top="0.75" bottom="0.75" header="0.3" footer="0.3"/>
</x:worksheet>
</file>